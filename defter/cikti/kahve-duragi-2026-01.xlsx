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" sheetId="1" state="visible" r:id="rId1"/>
    <sheet name="Hesap Planı" sheetId="2" state="visible" r:id="rId2"/>
    <sheet name="Yevmiye" sheetId="3" state="visible" r:id="rId3"/>
    <sheet name="Büyük Defter" sheetId="4" state="visible" r:id="rId4"/>
    <sheet name="Mizan" sheetId="5" state="visible" r:id="rId5"/>
    <sheet name="Banka Ekstresi" sheetId="6" state="visible" r:id="rId6"/>
    <sheet name="KDV" sheetId="7" state="visible" r:id="rId7"/>
    <sheet name="Stok" sheetId="8" state="visible" r:id="rId8"/>
    <sheet name="Amortisman" sheetId="9" state="visible" r:id="rId9"/>
    <sheet name="Gelir Tablosu" sheetId="10" state="visible" r:id="rId10"/>
    <sheet name="Bilanço" sheetId="11" state="visible" r:id="rId11"/>
    <sheet name="Takvi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;(#,##0.00);&quot;-&quot;"/>
    <numFmt numFmtId="167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8E1D5"/>
      </patternFill>
    </fill>
    <fill>
      <patternFill patternType="solid">
        <fgColor rgb="00E3F1E6"/>
      </patternFill>
    </fill>
    <fill>
      <patternFill patternType="solid">
        <fgColor rgb="00F4F0E8"/>
      </patternFill>
    </fill>
  </fills>
  <borders count="3">
    <border>
      <left/>
      <right/>
      <top/>
      <bottom/>
      <diagonal/>
    </border>
    <border>
      <top style="thin">
        <color rgb="00BBBBBB"/>
      </top>
    </border>
    <border>
      <top style="thin">
        <color rgb="00333333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0" fontId="3" fillId="4" borderId="0" pivotButton="0" quotePrefix="0" xfId="0"/>
    <xf numFmtId="166" fontId="3" fillId="4" borderId="2" pivotButton="0" quotePrefix="0" xfId="0"/>
    <xf numFmtId="0" fontId="3" fillId="3" borderId="0" pivotButton="0" quotePrefix="0" xfId="0"/>
    <xf numFmtId="0" fontId="4" fillId="0" borderId="0" pivotButton="0" quotePrefix="0" xfId="0"/>
    <xf numFmtId="166" fontId="3" fillId="4" borderId="0" pivotButton="0" quotePrefix="0" xfId="0"/>
    <xf numFmtId="167" fontId="0" fillId="0" borderId="0" pivotButton="0" quotePrefix="0" xfId="0"/>
    <xf numFmtId="0" fontId="3" fillId="2" borderId="0" pivotButton="0" quotePrefix="0" xfId="0"/>
    <xf numFmtId="166" fontId="3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90" customWidth="1" min="3" max="3"/>
  </cols>
  <sheetData>
    <row r="1">
      <c r="A1" s="1" t="inlineStr">
        <is>
          <t>Kahve Durağı — Defter Çalışma Kitabı</t>
        </is>
      </c>
    </row>
    <row r="2">
      <c r="A2" s="2" t="inlineStr">
        <is>
          <t>KURGUSAL İŞLETME · Muhasebe 101 lab'ı · Bu çalışma kitabı eğitim amaçlıdır. Mali müşavirlik hizmeti değildir. Kendi durumunuz için mali müşavirinize danışın.</t>
        </is>
      </c>
    </row>
    <row r="4">
      <c r="A4" s="3" t="inlineStr">
        <is>
          <t>Unvan</t>
        </is>
      </c>
      <c r="B4" t="inlineStr">
        <is>
          <t>Kahve Durağı Ltd. Şti. (KURGUSAL)</t>
        </is>
      </c>
    </row>
    <row r="5">
      <c r="A5" s="3" t="inlineStr">
        <is>
          <t>Faaliyet</t>
        </is>
      </c>
      <c r="B5" t="inlineStr">
        <is>
          <t>kahve demleme ekipmanı satan küçük dükkân ve çevrim içi satış (kurgusal)</t>
        </is>
      </c>
    </row>
    <row r="6">
      <c r="A6" s="3" t="inlineStr">
        <is>
          <t>Vergi kimlik no</t>
        </is>
      </c>
      <c r="B6" t="inlineStr">
        <is>
          <t>0000000000</t>
        </is>
      </c>
    </row>
    <row r="7">
      <c r="A7" s="3" t="inlineStr">
        <is>
          <t>Adres</t>
        </is>
      </c>
      <c r="B7" t="inlineStr">
        <is>
          <t>Örnek Mah. Deneme Sok. No: 0, Eskişehir (kurgusal)</t>
        </is>
      </c>
    </row>
    <row r="8">
      <c r="A8" s="3" t="inlineStr">
        <is>
          <t>Telefon</t>
        </is>
      </c>
      <c r="B8" t="inlineStr">
        <is>
          <t>0222 000 00 00</t>
        </is>
      </c>
    </row>
    <row r="9">
      <c r="A9" s="3" t="inlineStr">
        <is>
          <t>E-posta</t>
        </is>
      </c>
      <c r="B9" t="inlineStr">
        <is>
          <t>defter@example.com</t>
        </is>
      </c>
    </row>
    <row r="10">
      <c r="A10" s="3" t="inlineStr">
        <is>
          <t>Defter esası</t>
        </is>
      </c>
      <c r="B10" t="inlineStr">
        <is>
          <t>bilanço esası — her türlü ticaret şirketi I. sınıf tüccardır (VUK md. 177/4)</t>
        </is>
      </c>
    </row>
    <row r="11">
      <c r="A11" s="3" t="inlineStr">
        <is>
          <t>Dönem</t>
        </is>
      </c>
      <c r="B11" t="inlineStr">
        <is>
          <t>Ocak 2026 (ara dönem, öğrenme amaçlı)</t>
        </is>
      </c>
    </row>
    <row r="13">
      <c r="A13" s="3" t="inlineStr">
        <is>
          <t>Parametreler (formüller buradan okur)</t>
        </is>
      </c>
    </row>
    <row r="14">
      <c r="A14" s="4" t="inlineStr">
        <is>
          <t>Parametre</t>
        </is>
      </c>
      <c r="B14" s="4" t="inlineStr">
        <is>
          <t>Değer</t>
        </is>
      </c>
      <c r="C14" s="4" t="inlineStr">
        <is>
          <t>Kaynak / not</t>
        </is>
      </c>
    </row>
    <row r="15" ht="48" customHeight="1">
      <c r="A15" t="inlineStr">
        <is>
          <t>KDV genel oranı</t>
        </is>
      </c>
      <c r="B15" s="5" t="n">
        <v>0.2</v>
      </c>
      <c r="C15" s="6" t="inlineStr">
        <is>
          <t>2007/13033 sayılı BKK md. 1/(a), 7346 sayılı Cumhurbaşkanı Kararı ile %18 → %20 (RG 7.7.2023, sayı 32241); GİB mevzuat sayfasında KDV oran kararlarının sonuncusu 9126 (RG 14.11.2024, yalnız liste değişikliği) — okundu 2026-09-25 · Kahve Durağı'nın bütün alış/satışlarında genel oran uygulandığı VARSAYILDI; bir ürünün (I) ya da (II) sayılı listede olup olmadığı ders kapsamında belirlenmez</t>
        </is>
      </c>
    </row>
    <row r="16" ht="48" customHeight="1">
      <c r="A16" t="inlineStr">
        <is>
          <t>Doğrudan gider yazma haddi (2026)</t>
        </is>
      </c>
      <c r="B16" s="7" t="n">
        <v>12000</v>
      </c>
      <c r="C16" s="6" t="inlineStr">
        <is>
          <t>VUK md. 313; 588 Sıra No.lu VUK Genel Tebliği ile 1.1.2026'dan geçerli tutar (RG 30.12.2025, sayı 33124 5. mükerrer) — mevzuat.gov.tr VUK metni, okundu 2026-09-25</t>
        </is>
      </c>
    </row>
    <row r="17" ht="48" customHeight="1">
      <c r="A17" t="inlineStr">
        <is>
          <t>Tezgâh ve raf sistemi faydalı ömrü (ÖRNEK)</t>
        </is>
      </c>
      <c r="B17" s="7" t="n">
        <v>5</v>
      </c>
      <c r="C17" s="6" t="inlineStr">
        <is>
          <t>ÖRNEK — Hazine ve Maliye Bakanlığı amortisman listesindeki karşılığı bu kayıtta doğrulanmadı (ACIK-SORULAR Q7)</t>
        </is>
      </c>
    </row>
    <row r="19">
      <c r="A19" s="3" t="inlineStr">
        <is>
          <t>Sayfalar</t>
        </is>
      </c>
    </row>
    <row r="20">
      <c r="A20" t="inlineStr">
        <is>
          <t>Hesap Planı</t>
        </is>
      </c>
      <c r="B20" t="inlineStr">
        <is>
          <t>kullanılan hesaplar — Tekdüzen Hesap Planı kodlarıyla (MSUGT, RG 26.12.1992)</t>
        </is>
      </c>
    </row>
    <row r="21">
      <c r="A21" t="inlineStr">
        <is>
          <t>Yevmiye</t>
        </is>
      </c>
      <c r="B21" t="inlineStr">
        <is>
          <t>tarih sırasıyla maddeler; her madde borç = alacak</t>
        </is>
      </c>
    </row>
    <row r="22">
      <c r="A22" t="inlineStr">
        <is>
          <t>Büyük Defter</t>
        </is>
      </c>
      <c r="B22" t="inlineStr">
        <is>
          <t>yevmiyedeki satırların hesap hesap dağılımı ve bakiyesi</t>
        </is>
      </c>
    </row>
    <row r="23">
      <c r="A23" t="inlineStr">
        <is>
          <t>Mizan</t>
        </is>
      </c>
      <c r="B23" t="inlineStr">
        <is>
          <t>hesapların borç/alacak toplamları ve kalanları; denklik kontrolü</t>
        </is>
      </c>
    </row>
    <row r="24">
      <c r="A24" t="inlineStr">
        <is>
          <t>Banka Ekstresi</t>
        </is>
      </c>
      <c r="B24" t="inlineStr">
        <is>
          <t>bankanın belgesi (kurgusal) ve defterle mutabakat</t>
        </is>
      </c>
    </row>
    <row r="25">
      <c r="A25" t="inlineStr">
        <is>
          <t>KDV</t>
        </is>
      </c>
      <c r="B25" t="inlineStr">
        <is>
          <t>hesaplanan, indirilecek, ödenecek / devreden KDV</t>
        </is>
      </c>
    </row>
    <row r="26">
      <c r="A26" t="inlineStr">
        <is>
          <t>Stok</t>
        </is>
      </c>
      <c r="B26" t="inlineStr">
        <is>
          <t>ay sonu sayım → satılan malın maliyeti</t>
        </is>
      </c>
    </row>
    <row r="27">
      <c r="A27" t="inlineStr">
        <is>
          <t>Amortisman</t>
        </is>
      </c>
      <c r="B27" t="inlineStr">
        <is>
          <t>demirbaşın yıllara dağıtılması; doğrudan gider haddi</t>
        </is>
      </c>
    </row>
    <row r="28">
      <c r="A28" t="inlineStr">
        <is>
          <t>Gelir Tablosu</t>
        </is>
      </c>
      <c r="B28" t="inlineStr">
        <is>
          <t>dönemin kârı — mizandan formülle</t>
        </is>
      </c>
    </row>
    <row r="29">
      <c r="A29" t="inlineStr">
        <is>
          <t>Bilanço</t>
        </is>
      </c>
      <c r="B29" t="inlineStr">
        <is>
          <t>ay sonu varlıklar = kaynaklar — mizandan formülle</t>
        </is>
      </c>
    </row>
    <row r="30">
      <c r="A30" t="inlineStr">
        <is>
          <t>Takvim</t>
        </is>
      </c>
      <c r="B30" t="inlineStr">
        <is>
          <t>2026 vergi takvimi örnekleri (GİB, okundu 2026-09-25)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20" customWidth="1" min="4" max="4"/>
    <col width="14" customWidth="1" min="5" max="5"/>
  </cols>
  <sheetData>
    <row r="1">
      <c r="A1" s="1" t="inlineStr">
        <is>
          <t>Hesap Planı (kullanılan hesaplar)</t>
        </is>
      </c>
    </row>
    <row r="2">
      <c r="A2" s="2" t="inlineStr">
        <is>
          <t>Kodlar Tekdüzen Hesap Planı'ndan (Muhasebe Sistemi Uygulama Genel Tebliği Sıra No: 1, RG 26.12.1992 sayı 21447 mük.). Ticaret işletmesi olarak giderler 7/B seçeneğiyle (79 Gider Çeşitleri) izlenir.</t>
        </is>
      </c>
    </row>
    <row r="4">
      <c r="A4" s="4" t="inlineStr">
        <is>
          <t>Kod</t>
        </is>
      </c>
      <c r="B4" s="4" t="inlineStr">
        <is>
          <t>Hesap adı</t>
        </is>
      </c>
      <c r="C4" s="4" t="inlineStr">
        <is>
          <t>Grup</t>
        </is>
      </c>
      <c r="D4" s="4" t="inlineStr">
        <is>
          <t>Tür</t>
        </is>
      </c>
      <c r="E4" s="4" t="inlineStr">
        <is>
          <t>Normal bakiye</t>
        </is>
      </c>
    </row>
    <row r="5">
      <c r="A5" t="n">
        <v>100</v>
      </c>
      <c r="B5" t="inlineStr">
        <is>
          <t>Kasa</t>
        </is>
      </c>
      <c r="C5" t="inlineStr">
        <is>
          <t>1 Dönen Varlıklar</t>
        </is>
      </c>
      <c r="D5" t="inlineStr">
        <is>
          <t>Varlık</t>
        </is>
      </c>
      <c r="E5" t="inlineStr">
        <is>
          <t>Borç</t>
        </is>
      </c>
    </row>
    <row r="6">
      <c r="A6" t="n">
        <v>102</v>
      </c>
      <c r="B6" t="inlineStr">
        <is>
          <t>Bankalar</t>
        </is>
      </c>
      <c r="C6" t="inlineStr">
        <is>
          <t>1 Dönen Varlıklar</t>
        </is>
      </c>
      <c r="D6" t="inlineStr">
        <is>
          <t>Varlık</t>
        </is>
      </c>
      <c r="E6" t="inlineStr">
        <is>
          <t>Borç</t>
        </is>
      </c>
    </row>
    <row r="7">
      <c r="A7" t="n">
        <v>120</v>
      </c>
      <c r="B7" t="inlineStr">
        <is>
          <t>Alıcılar</t>
        </is>
      </c>
      <c r="C7" t="inlineStr">
        <is>
          <t>1 Dönen Varlıklar</t>
        </is>
      </c>
      <c r="D7" t="inlineStr">
        <is>
          <t>Varlık</t>
        </is>
      </c>
      <c r="E7" t="inlineStr">
        <is>
          <t>Borç</t>
        </is>
      </c>
    </row>
    <row r="8">
      <c r="A8" t="n">
        <v>153</v>
      </c>
      <c r="B8" t="inlineStr">
        <is>
          <t>Ticari Mallar</t>
        </is>
      </c>
      <c r="C8" t="inlineStr">
        <is>
          <t>1 Dönen Varlıklar</t>
        </is>
      </c>
      <c r="D8" t="inlineStr">
        <is>
          <t>Varlık</t>
        </is>
      </c>
      <c r="E8" t="inlineStr">
        <is>
          <t>Borç</t>
        </is>
      </c>
    </row>
    <row r="9">
      <c r="A9" t="n">
        <v>191</v>
      </c>
      <c r="B9" t="inlineStr">
        <is>
          <t>İndirilecek KDV</t>
        </is>
      </c>
      <c r="C9" t="inlineStr">
        <is>
          <t>1 Dönen Varlıklar</t>
        </is>
      </c>
      <c r="D9" t="inlineStr">
        <is>
          <t>Varlık</t>
        </is>
      </c>
      <c r="E9" t="inlineStr">
        <is>
          <t>Borç</t>
        </is>
      </c>
    </row>
    <row r="10">
      <c r="A10" t="n">
        <v>255</v>
      </c>
      <c r="B10" t="inlineStr">
        <is>
          <t>Demirbaşlar</t>
        </is>
      </c>
      <c r="C10" t="inlineStr">
        <is>
          <t>2 Duran Varlıklar</t>
        </is>
      </c>
      <c r="D10" t="inlineStr">
        <is>
          <t>Varlık</t>
        </is>
      </c>
      <c r="E10" t="inlineStr">
        <is>
          <t>Borç</t>
        </is>
      </c>
    </row>
    <row r="11">
      <c r="A11" t="n">
        <v>257</v>
      </c>
      <c r="B11" t="inlineStr">
        <is>
          <t>Birikmiş Amortismanlar (-)</t>
        </is>
      </c>
      <c r="C11" t="inlineStr">
        <is>
          <t>2 Duran Varlıklar</t>
        </is>
      </c>
      <c r="D11" t="inlineStr">
        <is>
          <t>Varlık (düzenleyici)</t>
        </is>
      </c>
      <c r="E11" t="inlineStr">
        <is>
          <t>Alacak</t>
        </is>
      </c>
    </row>
    <row r="12">
      <c r="A12" t="n">
        <v>320</v>
      </c>
      <c r="B12" t="inlineStr">
        <is>
          <t>Satıcılar</t>
        </is>
      </c>
      <c r="C12" t="inlineStr">
        <is>
          <t>3 Kısa Vadeli Yabancı Kaynaklar</t>
        </is>
      </c>
      <c r="D12" t="inlineStr">
        <is>
          <t>Kaynak</t>
        </is>
      </c>
      <c r="E12" t="inlineStr">
        <is>
          <t>Alacak</t>
        </is>
      </c>
    </row>
    <row r="13">
      <c r="A13" t="n">
        <v>360</v>
      </c>
      <c r="B13" t="inlineStr">
        <is>
          <t>Ödenecek Vergi ve Fonlar</t>
        </is>
      </c>
      <c r="C13" t="inlineStr">
        <is>
          <t>3 Kısa Vadeli Yabancı Kaynaklar</t>
        </is>
      </c>
      <c r="D13" t="inlineStr">
        <is>
          <t>Kaynak</t>
        </is>
      </c>
      <c r="E13" t="inlineStr">
        <is>
          <t>Alacak</t>
        </is>
      </c>
    </row>
    <row r="14">
      <c r="A14" t="n">
        <v>391</v>
      </c>
      <c r="B14" t="inlineStr">
        <is>
          <t>Hesaplanan KDV</t>
        </is>
      </c>
      <c r="C14" t="inlineStr">
        <is>
          <t>3 Kısa Vadeli Yabancı Kaynaklar</t>
        </is>
      </c>
      <c r="D14" t="inlineStr">
        <is>
          <t>Kaynak</t>
        </is>
      </c>
      <c r="E14" t="inlineStr">
        <is>
          <t>Alacak</t>
        </is>
      </c>
    </row>
    <row r="15">
      <c r="A15" t="n">
        <v>500</v>
      </c>
      <c r="B15" t="inlineStr">
        <is>
          <t>Sermaye</t>
        </is>
      </c>
      <c r="C15" t="inlineStr">
        <is>
          <t>5 Öz Kaynaklar</t>
        </is>
      </c>
      <c r="D15" t="inlineStr">
        <is>
          <t>Kaynak</t>
        </is>
      </c>
      <c r="E15" t="inlineStr">
        <is>
          <t>Alacak</t>
        </is>
      </c>
    </row>
    <row r="16">
      <c r="A16" t="n">
        <v>600</v>
      </c>
      <c r="B16" t="inlineStr">
        <is>
          <t>Yurt İçi Satışlar</t>
        </is>
      </c>
      <c r="C16" t="inlineStr">
        <is>
          <t>6 Gelir Tablosu Hesapları</t>
        </is>
      </c>
      <c r="D16" t="inlineStr">
        <is>
          <t>Gelir</t>
        </is>
      </c>
      <c r="E16" t="inlineStr">
        <is>
          <t>Alacak</t>
        </is>
      </c>
    </row>
    <row r="17">
      <c r="A17" t="n">
        <v>621</v>
      </c>
      <c r="B17" t="inlineStr">
        <is>
          <t>Satılan Ticari Mallar Maliyeti (-)</t>
        </is>
      </c>
      <c r="C17" t="inlineStr">
        <is>
          <t>6 Gelir Tablosu Hesapları</t>
        </is>
      </c>
      <c r="D17" t="inlineStr">
        <is>
          <t>Gider</t>
        </is>
      </c>
      <c r="E17" t="inlineStr">
        <is>
          <t>Borç</t>
        </is>
      </c>
    </row>
    <row r="18">
      <c r="A18" t="n">
        <v>632</v>
      </c>
      <c r="B18" t="inlineStr">
        <is>
          <t>Genel Yönetim Giderleri (-)</t>
        </is>
      </c>
      <c r="C18" t="inlineStr">
        <is>
          <t>6 Gelir Tablosu Hesapları</t>
        </is>
      </c>
      <c r="D18" t="inlineStr">
        <is>
          <t>Gider</t>
        </is>
      </c>
      <c r="E18" t="inlineStr">
        <is>
          <t>Borç</t>
        </is>
      </c>
    </row>
    <row r="19">
      <c r="A19" t="n">
        <v>793</v>
      </c>
      <c r="B19" t="inlineStr">
        <is>
          <t>Dışarıdan Sağlanan Fayda ve Hizmetler</t>
        </is>
      </c>
      <c r="C19" t="inlineStr">
        <is>
          <t>7 Maliyet Hesapları (7/B)</t>
        </is>
      </c>
      <c r="D19" t="inlineStr">
        <is>
          <t>Gider çeşidi</t>
        </is>
      </c>
      <c r="E19" t="inlineStr">
        <is>
          <t>Borç</t>
        </is>
      </c>
    </row>
    <row r="20">
      <c r="A20" t="n">
        <v>794</v>
      </c>
      <c r="B20" t="inlineStr">
        <is>
          <t>Çeşitli Giderler</t>
        </is>
      </c>
      <c r="C20" t="inlineStr">
        <is>
          <t>7 Maliyet Hesapları (7/B)</t>
        </is>
      </c>
      <c r="D20" t="inlineStr">
        <is>
          <t>Gider çeşidi</t>
        </is>
      </c>
      <c r="E20" t="inlineStr">
        <is>
          <t>Borç</t>
        </is>
      </c>
    </row>
    <row r="21">
      <c r="A21" t="n">
        <v>796</v>
      </c>
      <c r="B21" t="inlineStr">
        <is>
          <t>Amortismanlar ve Tükenme Payları</t>
        </is>
      </c>
      <c r="C21" t="inlineStr">
        <is>
          <t>7 Maliyet Hesapları (7/B)</t>
        </is>
      </c>
      <c r="D21" t="inlineStr">
        <is>
          <t>Gider çeşidi</t>
        </is>
      </c>
      <c r="E21" t="inlineStr">
        <is>
          <t>Borç</t>
        </is>
      </c>
    </row>
    <row r="22">
      <c r="A22" t="n">
        <v>798</v>
      </c>
      <c r="B22" t="inlineStr">
        <is>
          <t>Gider Çeşitleri Yansıtma Hesabı</t>
        </is>
      </c>
      <c r="C22" t="inlineStr">
        <is>
          <t>7 Maliyet Hesapları (7/B)</t>
        </is>
      </c>
      <c r="D22" t="inlineStr">
        <is>
          <t>Yansıtma</t>
        </is>
      </c>
      <c r="E22" t="inlineStr">
        <is>
          <t>Alacak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44" customWidth="1" min="4" max="4"/>
    <col width="8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Yevmiye Defteri — Ocak 2026</t>
        </is>
      </c>
    </row>
    <row r="2">
      <c r="A2" s="2" t="inlineStr">
        <is>
          <t>Her madde bir belgeye dayanır; bir maddenin borç toplamı alacak toplamına eşit olmalıdır (I sütunu).</t>
        </is>
      </c>
    </row>
    <row r="4">
      <c r="A4" s="4" t="inlineStr">
        <is>
          <t>Madde</t>
        </is>
      </c>
      <c r="B4" s="4" t="inlineStr">
        <is>
          <t>Tarih</t>
        </is>
      </c>
      <c r="C4" s="4" t="inlineStr">
        <is>
          <t>Belge</t>
        </is>
      </c>
      <c r="D4" s="4" t="inlineStr">
        <is>
          <t>Açıklama</t>
        </is>
      </c>
      <c r="E4" s="4" t="inlineStr">
        <is>
          <t>Hesap</t>
        </is>
      </c>
      <c r="F4" s="4" t="inlineStr">
        <is>
          <t>Hesap adı</t>
        </is>
      </c>
      <c r="G4" s="4" t="inlineStr">
        <is>
          <t>Borç</t>
        </is>
      </c>
      <c r="H4" s="4" t="inlineStr">
        <is>
          <t>Alacak</t>
        </is>
      </c>
      <c r="I4" s="4" t="inlineStr">
        <is>
          <t>Madde kontrolü</t>
        </is>
      </c>
    </row>
    <row r="5">
      <c r="A5" t="n">
        <v>1</v>
      </c>
      <c r="B5" s="8" t="n">
        <v>46024</v>
      </c>
      <c r="C5" t="inlineStr">
        <is>
          <t>Banka dekontu ÖRN-D-001</t>
        </is>
      </c>
      <c r="D5" t="inlineStr">
        <is>
          <t>Ortakların sermaye ödemesi bankaya yatırıldı</t>
        </is>
      </c>
      <c r="E5" t="n">
        <v>102</v>
      </c>
      <c r="F5">
        <f>IFERROR(VLOOKUP(E5,'Hesap Planı'!$A$5:$B$22,2,FALSE),"HESAP PLANINDA YOK")</f>
        <v/>
      </c>
      <c r="G5" s="9" t="n">
        <v>300000</v>
      </c>
      <c r="I5" s="10">
        <f>IF(ROUND(SUMIF($A$5:$A$200,A5,$G$5:$G$200)-SUMIF($A$5:$A$200,A5,$H$5:$H$200),2)=0,"DENK","DENK DEĞİL")</f>
        <v/>
      </c>
    </row>
    <row r="6">
      <c r="A6" t="n">
        <v>1</v>
      </c>
      <c r="B6" s="8" t="n">
        <v>46024</v>
      </c>
      <c r="C6" t="inlineStr">
        <is>
          <t>Banka dekontu ÖRN-D-001</t>
        </is>
      </c>
      <c r="D6" t="inlineStr">
        <is>
          <t>Ortakların sermaye ödemesi bankaya yatırıldı</t>
        </is>
      </c>
      <c r="E6" t="n">
        <v>500</v>
      </c>
      <c r="F6">
        <f>IFERROR(VLOOKUP(E6,'Hesap Planı'!$A$5:$B$22,2,FALSE),"HESAP PLANINDA YOK")</f>
        <v/>
      </c>
      <c r="H6" s="9" t="n">
        <v>300000</v>
      </c>
    </row>
    <row r="7">
      <c r="A7" s="11" t="n">
        <v>2</v>
      </c>
      <c r="B7" s="12" t="n">
        <v>46025</v>
      </c>
      <c r="C7" s="11" t="inlineStr">
        <is>
          <t>Banka dekontu ÖRN-D-002</t>
        </is>
      </c>
      <c r="D7" s="11" t="inlineStr">
        <is>
          <t>Bankadan kasaya para çekildi</t>
        </is>
      </c>
      <c r="E7" s="11" t="n">
        <v>100</v>
      </c>
      <c r="F7" s="11">
        <f>IFERROR(VLOOKUP(E7,'Hesap Planı'!$A$5:$B$22,2,FALSE),"HESAP PLANINDA YOK")</f>
        <v/>
      </c>
      <c r="G7" s="13" t="n">
        <v>20000</v>
      </c>
      <c r="H7" s="11" t="n"/>
      <c r="I7" s="14">
        <f>IF(ROUND(SUMIF($A$5:$A$200,A7,$G$5:$G$200)-SUMIF($A$5:$A$200,A7,$H$5:$H$200),2)=0,"DENK","DENK DEĞİL")</f>
        <v/>
      </c>
    </row>
    <row r="8">
      <c r="A8" t="n">
        <v>2</v>
      </c>
      <c r="B8" s="8" t="n">
        <v>46025</v>
      </c>
      <c r="C8" t="inlineStr">
        <is>
          <t>Banka dekontu ÖRN-D-002</t>
        </is>
      </c>
      <c r="D8" t="inlineStr">
        <is>
          <t>Bankadan kasaya para çekildi</t>
        </is>
      </c>
      <c r="E8" t="n">
        <v>102</v>
      </c>
      <c r="F8">
        <f>IFERROR(VLOOKUP(E8,'Hesap Planı'!$A$5:$B$22,2,FALSE),"HESAP PLANINDA YOK")</f>
        <v/>
      </c>
      <c r="H8" s="9" t="n">
        <v>20000</v>
      </c>
    </row>
    <row r="9">
      <c r="A9" s="11" t="n">
        <v>3</v>
      </c>
      <c r="B9" s="12" t="n">
        <v>46028</v>
      </c>
      <c r="C9" s="11" t="inlineStr">
        <is>
          <t>Alış e-Faturası ÖRN-A-001</t>
        </is>
      </c>
      <c r="D9" s="11" t="inlineStr">
        <is>
          <t>Tezgâh ve raf sistemi alındı (demirbaş)</t>
        </is>
      </c>
      <c r="E9" s="11" t="n">
        <v>255</v>
      </c>
      <c r="F9" s="11">
        <f>IFERROR(VLOOKUP(E9,'Hesap Planı'!$A$5:$B$22,2,FALSE),"HESAP PLANINDA YOK")</f>
        <v/>
      </c>
      <c r="G9" s="13" t="n">
        <v>90000</v>
      </c>
      <c r="H9" s="11" t="n"/>
      <c r="I9" s="14">
        <f>IF(ROUND(SUMIF($A$5:$A$200,A9,$G$5:$G$200)-SUMIF($A$5:$A$200,A9,$H$5:$H$200),2)=0,"DENK","DENK DEĞİL")</f>
        <v/>
      </c>
    </row>
    <row r="10">
      <c r="A10" t="n">
        <v>3</v>
      </c>
      <c r="B10" s="8" t="n">
        <v>46028</v>
      </c>
      <c r="C10" t="inlineStr">
        <is>
          <t>Alış e-Faturası ÖRN-A-001</t>
        </is>
      </c>
      <c r="D10" t="inlineStr">
        <is>
          <t>Tezgâh ve raf sistemi alındı (demirbaş)</t>
        </is>
      </c>
      <c r="E10" t="n">
        <v>191</v>
      </c>
      <c r="F10">
        <f>IFERROR(VLOOKUP(E10,'Hesap Planı'!$A$5:$B$22,2,FALSE),"HESAP PLANINDA YOK")</f>
        <v/>
      </c>
      <c r="G10" s="9" t="n">
        <v>18000</v>
      </c>
    </row>
    <row r="11">
      <c r="A11" t="n">
        <v>3</v>
      </c>
      <c r="B11" s="8" t="n">
        <v>46028</v>
      </c>
      <c r="C11" t="inlineStr">
        <is>
          <t>Alış e-Faturası ÖRN-A-001</t>
        </is>
      </c>
      <c r="D11" t="inlineStr">
        <is>
          <t>Tezgâh ve raf sistemi alındı (demirbaş)</t>
        </is>
      </c>
      <c r="E11" t="n">
        <v>102</v>
      </c>
      <c r="F11">
        <f>IFERROR(VLOOKUP(E11,'Hesap Planı'!$A$5:$B$22,2,FALSE),"HESAP PLANINDA YOK")</f>
        <v/>
      </c>
      <c r="H11" s="9" t="n">
        <v>108000</v>
      </c>
    </row>
    <row r="12">
      <c r="A12" s="11" t="n">
        <v>4</v>
      </c>
      <c r="B12" s="12" t="n">
        <v>46028</v>
      </c>
      <c r="C12" s="11" t="inlineStr">
        <is>
          <t>Alış faturası ÖRN-A-002</t>
        </is>
      </c>
      <c r="D12" s="11" t="inlineStr">
        <is>
          <t>Barkod okuyucu alındı — doğrudan gider (had altında)</t>
        </is>
      </c>
      <c r="E12" s="11" t="n">
        <v>794</v>
      </c>
      <c r="F12" s="11">
        <f>IFERROR(VLOOKUP(E12,'Hesap Planı'!$A$5:$B$22,2,FALSE),"HESAP PLANINDA YOK")</f>
        <v/>
      </c>
      <c r="G12" s="13" t="n">
        <v>8000</v>
      </c>
      <c r="H12" s="11" t="n"/>
      <c r="I12" s="14">
        <f>IF(ROUND(SUMIF($A$5:$A$200,A12,$G$5:$G$200)-SUMIF($A$5:$A$200,A12,$H$5:$H$200),2)=0,"DENK","DENK DEĞİL")</f>
        <v/>
      </c>
    </row>
    <row r="13">
      <c r="A13" t="n">
        <v>4</v>
      </c>
      <c r="B13" s="8" t="n">
        <v>46028</v>
      </c>
      <c r="C13" t="inlineStr">
        <is>
          <t>Alış faturası ÖRN-A-002</t>
        </is>
      </c>
      <c r="D13" t="inlineStr">
        <is>
          <t>Barkod okuyucu alındı — doğrudan gider (had altında)</t>
        </is>
      </c>
      <c r="E13" t="n">
        <v>191</v>
      </c>
      <c r="F13">
        <f>IFERROR(VLOOKUP(E13,'Hesap Planı'!$A$5:$B$22,2,FALSE),"HESAP PLANINDA YOK")</f>
        <v/>
      </c>
      <c r="G13" s="9" t="n">
        <v>1600</v>
      </c>
    </row>
    <row r="14">
      <c r="A14" t="n">
        <v>4</v>
      </c>
      <c r="B14" s="8" t="n">
        <v>46028</v>
      </c>
      <c r="C14" t="inlineStr">
        <is>
          <t>Alış faturası ÖRN-A-002</t>
        </is>
      </c>
      <c r="D14" t="inlineStr">
        <is>
          <t>Barkod okuyucu alındı — doğrudan gider (had altında)</t>
        </is>
      </c>
      <c r="E14" t="n">
        <v>100</v>
      </c>
      <c r="F14">
        <f>IFERROR(VLOOKUP(E14,'Hesap Planı'!$A$5:$B$22,2,FALSE),"HESAP PLANINDA YOK")</f>
        <v/>
      </c>
      <c r="H14" s="9" t="n">
        <v>9600</v>
      </c>
    </row>
    <row r="15">
      <c r="A15" s="11" t="n">
        <v>5</v>
      </c>
      <c r="B15" s="12" t="n">
        <v>46032</v>
      </c>
      <c r="C15" s="11" t="inlineStr">
        <is>
          <t>Alış e-Faturası ÖRN-A-003</t>
        </is>
      </c>
      <c r="D15" s="11" t="inlineStr">
        <is>
          <t>Satılmak üzere demleme ekipmanı alındı (vadeli)</t>
        </is>
      </c>
      <c r="E15" s="11" t="n">
        <v>153</v>
      </c>
      <c r="F15" s="11">
        <f>IFERROR(VLOOKUP(E15,'Hesap Planı'!$A$5:$B$22,2,FALSE),"HESAP PLANINDA YOK")</f>
        <v/>
      </c>
      <c r="G15" s="13" t="n">
        <v>150000</v>
      </c>
      <c r="H15" s="11" t="n"/>
      <c r="I15" s="14">
        <f>IF(ROUND(SUMIF($A$5:$A$200,A15,$G$5:$G$200)-SUMIF($A$5:$A$200,A15,$H$5:$H$200),2)=0,"DENK","DENK DEĞİL")</f>
        <v/>
      </c>
    </row>
    <row r="16">
      <c r="A16" t="n">
        <v>5</v>
      </c>
      <c r="B16" s="8" t="n">
        <v>46032</v>
      </c>
      <c r="C16" t="inlineStr">
        <is>
          <t>Alış e-Faturası ÖRN-A-003</t>
        </is>
      </c>
      <c r="D16" t="inlineStr">
        <is>
          <t>Satılmak üzere demleme ekipmanı alındı (vadeli)</t>
        </is>
      </c>
      <c r="E16" t="n">
        <v>191</v>
      </c>
      <c r="F16">
        <f>IFERROR(VLOOKUP(E16,'Hesap Planı'!$A$5:$B$22,2,FALSE),"HESAP PLANINDA YOK")</f>
        <v/>
      </c>
      <c r="G16" s="9" t="n">
        <v>30000</v>
      </c>
    </row>
    <row r="17">
      <c r="A17" t="n">
        <v>5</v>
      </c>
      <c r="B17" s="8" t="n">
        <v>46032</v>
      </c>
      <c r="C17" t="inlineStr">
        <is>
          <t>Alış e-Faturası ÖRN-A-003</t>
        </is>
      </c>
      <c r="D17" t="inlineStr">
        <is>
          <t>Satılmak üzere demleme ekipmanı alındı (vadeli)</t>
        </is>
      </c>
      <c r="E17" t="n">
        <v>320</v>
      </c>
      <c r="F17">
        <f>IFERROR(VLOOKUP(E17,'Hesap Planı'!$A$5:$B$22,2,FALSE),"HESAP PLANINDA YOK")</f>
        <v/>
      </c>
      <c r="H17" s="9" t="n">
        <v>180000</v>
      </c>
    </row>
    <row r="18">
      <c r="A18" s="11" t="n">
        <v>6</v>
      </c>
      <c r="B18" s="12" t="n">
        <v>46037</v>
      </c>
      <c r="C18" s="11" t="inlineStr">
        <is>
          <t>e-Arşiv faturalar ÖRN-S-001…040</t>
        </is>
      </c>
      <c r="D18" s="11" t="inlineStr">
        <is>
          <t>Bireysel müşterilere satışlar (kartla tahsil)</t>
        </is>
      </c>
      <c r="E18" s="11" t="n">
        <v>102</v>
      </c>
      <c r="F18" s="11">
        <f>IFERROR(VLOOKUP(E18,'Hesap Planı'!$A$5:$B$22,2,FALSE),"HESAP PLANINDA YOK")</f>
        <v/>
      </c>
      <c r="G18" s="13" t="n">
        <v>72000</v>
      </c>
      <c r="H18" s="11" t="n"/>
      <c r="I18" s="14">
        <f>IF(ROUND(SUMIF($A$5:$A$200,A18,$G$5:$G$200)-SUMIF($A$5:$A$200,A18,$H$5:$H$200),2)=0,"DENK","DENK DEĞİL")</f>
        <v/>
      </c>
    </row>
    <row r="19">
      <c r="A19" t="n">
        <v>6</v>
      </c>
      <c r="B19" s="8" t="n">
        <v>46037</v>
      </c>
      <c r="C19" t="inlineStr">
        <is>
          <t>e-Arşiv faturalar ÖRN-S-001…040</t>
        </is>
      </c>
      <c r="D19" t="inlineStr">
        <is>
          <t>Bireysel müşterilere satışlar (kartla tahsil)</t>
        </is>
      </c>
      <c r="E19" t="n">
        <v>600</v>
      </c>
      <c r="F19">
        <f>IFERROR(VLOOKUP(E19,'Hesap Planı'!$A$5:$B$22,2,FALSE),"HESAP PLANINDA YOK")</f>
        <v/>
      </c>
      <c r="H19" s="9" t="n">
        <v>60000</v>
      </c>
    </row>
    <row r="20">
      <c r="A20" t="n">
        <v>6</v>
      </c>
      <c r="B20" s="8" t="n">
        <v>46037</v>
      </c>
      <c r="C20" t="inlineStr">
        <is>
          <t>e-Arşiv faturalar ÖRN-S-001…040</t>
        </is>
      </c>
      <c r="D20" t="inlineStr">
        <is>
          <t>Bireysel müşterilere satışlar (kartla tahsil)</t>
        </is>
      </c>
      <c r="E20" t="n">
        <v>391</v>
      </c>
      <c r="F20">
        <f>IFERROR(VLOOKUP(E20,'Hesap Planı'!$A$5:$B$22,2,FALSE),"HESAP PLANINDA YOK")</f>
        <v/>
      </c>
      <c r="H20" s="9" t="n">
        <v>12000</v>
      </c>
    </row>
    <row r="21">
      <c r="A21" s="11" t="n">
        <v>7</v>
      </c>
      <c r="B21" s="12" t="n">
        <v>46042</v>
      </c>
      <c r="C21" s="11" t="inlineStr">
        <is>
          <t>Satış e-Faturası ÖRN-S-041</t>
        </is>
      </c>
      <c r="D21" s="11" t="inlineStr">
        <is>
          <t>Örnek Kafe Ltd.'ye vadeli satış (kurgusal müşteri)</t>
        </is>
      </c>
      <c r="E21" s="11" t="n">
        <v>120</v>
      </c>
      <c r="F21" s="11">
        <f>IFERROR(VLOOKUP(E21,'Hesap Planı'!$A$5:$B$22,2,FALSE),"HESAP PLANINDA YOK")</f>
        <v/>
      </c>
      <c r="G21" s="13" t="n">
        <v>48000</v>
      </c>
      <c r="H21" s="11" t="n"/>
      <c r="I21" s="14">
        <f>IF(ROUND(SUMIF($A$5:$A$200,A21,$G$5:$G$200)-SUMIF($A$5:$A$200,A21,$H$5:$H$200),2)=0,"DENK","DENK DEĞİL")</f>
        <v/>
      </c>
    </row>
    <row r="22">
      <c r="A22" t="n">
        <v>7</v>
      </c>
      <c r="B22" s="8" t="n">
        <v>46042</v>
      </c>
      <c r="C22" t="inlineStr">
        <is>
          <t>Satış e-Faturası ÖRN-S-041</t>
        </is>
      </c>
      <c r="D22" t="inlineStr">
        <is>
          <t>Örnek Kafe Ltd.'ye vadeli satış (kurgusal müşteri)</t>
        </is>
      </c>
      <c r="E22" t="n">
        <v>600</v>
      </c>
      <c r="F22">
        <f>IFERROR(VLOOKUP(E22,'Hesap Planı'!$A$5:$B$22,2,FALSE),"HESAP PLANINDA YOK")</f>
        <v/>
      </c>
      <c r="H22" s="9" t="n">
        <v>40000</v>
      </c>
    </row>
    <row r="23">
      <c r="A23" t="n">
        <v>7</v>
      </c>
      <c r="B23" s="8" t="n">
        <v>46042</v>
      </c>
      <c r="C23" t="inlineStr">
        <is>
          <t>Satış e-Faturası ÖRN-S-041</t>
        </is>
      </c>
      <c r="D23" t="inlineStr">
        <is>
          <t>Örnek Kafe Ltd.'ye vadeli satış (kurgusal müşteri)</t>
        </is>
      </c>
      <c r="E23" t="n">
        <v>391</v>
      </c>
      <c r="F23">
        <f>IFERROR(VLOOKUP(E23,'Hesap Planı'!$A$5:$B$22,2,FALSE),"HESAP PLANINDA YOK")</f>
        <v/>
      </c>
      <c r="H23" s="9" t="n">
        <v>8000</v>
      </c>
    </row>
    <row r="24">
      <c r="A24" s="11" t="n">
        <v>8</v>
      </c>
      <c r="B24" s="12" t="n">
        <v>46047</v>
      </c>
      <c r="C24" s="11" t="inlineStr">
        <is>
          <t>Alış e-Faturası ÖRN-A-004</t>
        </is>
      </c>
      <c r="D24" s="11" t="inlineStr">
        <is>
          <t>Ocak dükkân kirası (kiraya veren şirket)</t>
        </is>
      </c>
      <c r="E24" s="11" t="n">
        <v>793</v>
      </c>
      <c r="F24" s="11">
        <f>IFERROR(VLOOKUP(E24,'Hesap Planı'!$A$5:$B$22,2,FALSE),"HESAP PLANINDA YOK")</f>
        <v/>
      </c>
      <c r="G24" s="13" t="n">
        <v>25000</v>
      </c>
      <c r="H24" s="11" t="n"/>
      <c r="I24" s="14">
        <f>IF(ROUND(SUMIF($A$5:$A$200,A24,$G$5:$G$200)-SUMIF($A$5:$A$200,A24,$H$5:$H$200),2)=0,"DENK","DENK DEĞİL")</f>
        <v/>
      </c>
    </row>
    <row r="25">
      <c r="A25" t="n">
        <v>8</v>
      </c>
      <c r="B25" s="8" t="n">
        <v>46047</v>
      </c>
      <c r="C25" t="inlineStr">
        <is>
          <t>Alış e-Faturası ÖRN-A-004</t>
        </is>
      </c>
      <c r="D25" t="inlineStr">
        <is>
          <t>Ocak dükkân kirası (kiraya veren şirket)</t>
        </is>
      </c>
      <c r="E25" t="n">
        <v>191</v>
      </c>
      <c r="F25">
        <f>IFERROR(VLOOKUP(E25,'Hesap Planı'!$A$5:$B$22,2,FALSE),"HESAP PLANINDA YOK")</f>
        <v/>
      </c>
      <c r="G25" s="9" t="n">
        <v>5000</v>
      </c>
    </row>
    <row r="26">
      <c r="A26" t="n">
        <v>8</v>
      </c>
      <c r="B26" s="8" t="n">
        <v>46047</v>
      </c>
      <c r="C26" t="inlineStr">
        <is>
          <t>Alış e-Faturası ÖRN-A-004</t>
        </is>
      </c>
      <c r="D26" t="inlineStr">
        <is>
          <t>Ocak dükkân kirası (kiraya veren şirket)</t>
        </is>
      </c>
      <c r="E26" t="n">
        <v>102</v>
      </c>
      <c r="F26">
        <f>IFERROR(VLOOKUP(E26,'Hesap Planı'!$A$5:$B$22,2,FALSE),"HESAP PLANINDA YOK")</f>
        <v/>
      </c>
      <c r="H26" s="9" t="n">
        <v>30000</v>
      </c>
    </row>
    <row r="27">
      <c r="A27" s="11" t="n">
        <v>9</v>
      </c>
      <c r="B27" s="12" t="n">
        <v>46050</v>
      </c>
      <c r="C27" s="11" t="inlineStr">
        <is>
          <t>Alış e-Faturası ÖRN-A-005</t>
        </is>
      </c>
      <c r="D27" s="11" t="inlineStr">
        <is>
          <t>Elektrik ve internet faturası</t>
        </is>
      </c>
      <c r="E27" s="11" t="n">
        <v>793</v>
      </c>
      <c r="F27" s="11">
        <f>IFERROR(VLOOKUP(E27,'Hesap Planı'!$A$5:$B$22,2,FALSE),"HESAP PLANINDA YOK")</f>
        <v/>
      </c>
      <c r="G27" s="13" t="n">
        <v>4000</v>
      </c>
      <c r="H27" s="11" t="n"/>
      <c r="I27" s="14">
        <f>IF(ROUND(SUMIF($A$5:$A$200,A27,$G$5:$G$200)-SUMIF($A$5:$A$200,A27,$H$5:$H$200),2)=0,"DENK","DENK DEĞİL")</f>
        <v/>
      </c>
    </row>
    <row r="28">
      <c r="A28" t="n">
        <v>9</v>
      </c>
      <c r="B28" s="8" t="n">
        <v>46050</v>
      </c>
      <c r="C28" t="inlineStr">
        <is>
          <t>Alış e-Faturası ÖRN-A-005</t>
        </is>
      </c>
      <c r="D28" t="inlineStr">
        <is>
          <t>Elektrik ve internet faturası</t>
        </is>
      </c>
      <c r="E28" t="n">
        <v>191</v>
      </c>
      <c r="F28">
        <f>IFERROR(VLOOKUP(E28,'Hesap Planı'!$A$5:$B$22,2,FALSE),"HESAP PLANINDA YOK")</f>
        <v/>
      </c>
      <c r="G28" s="9" t="n">
        <v>800</v>
      </c>
    </row>
    <row r="29">
      <c r="A29" t="n">
        <v>9</v>
      </c>
      <c r="B29" s="8" t="n">
        <v>46050</v>
      </c>
      <c r="C29" t="inlineStr">
        <is>
          <t>Alış e-Faturası ÖRN-A-005</t>
        </is>
      </c>
      <c r="D29" t="inlineStr">
        <is>
          <t>Elektrik ve internet faturası</t>
        </is>
      </c>
      <c r="E29" t="n">
        <v>102</v>
      </c>
      <c r="F29">
        <f>IFERROR(VLOOKUP(E29,'Hesap Planı'!$A$5:$B$22,2,FALSE),"HESAP PLANINDA YOK")</f>
        <v/>
      </c>
      <c r="H29" s="9" t="n">
        <v>4800</v>
      </c>
    </row>
    <row r="30">
      <c r="A30" s="11" t="n">
        <v>10</v>
      </c>
      <c r="B30" s="12" t="n">
        <v>46052</v>
      </c>
      <c r="C30" s="11" t="inlineStr">
        <is>
          <t>Banka dekontu ÖRN-D-003</t>
        </is>
      </c>
      <c r="D30" s="11" t="inlineStr">
        <is>
          <t>Örnek Kafe Ltd.'den tahsilat</t>
        </is>
      </c>
      <c r="E30" s="11" t="n">
        <v>102</v>
      </c>
      <c r="F30" s="11">
        <f>IFERROR(VLOOKUP(E30,'Hesap Planı'!$A$5:$B$22,2,FALSE),"HESAP PLANINDA YOK")</f>
        <v/>
      </c>
      <c r="G30" s="13" t="n">
        <v>48000</v>
      </c>
      <c r="H30" s="11" t="n"/>
      <c r="I30" s="14">
        <f>IF(ROUND(SUMIF($A$5:$A$200,A30,$G$5:$G$200)-SUMIF($A$5:$A$200,A30,$H$5:$H$200),2)=0,"DENK","DENK DEĞİL")</f>
        <v/>
      </c>
    </row>
    <row r="31">
      <c r="A31" t="n">
        <v>10</v>
      </c>
      <c r="B31" s="8" t="n">
        <v>46052</v>
      </c>
      <c r="C31" t="inlineStr">
        <is>
          <t>Banka dekontu ÖRN-D-003</t>
        </is>
      </c>
      <c r="D31" t="inlineStr">
        <is>
          <t>Örnek Kafe Ltd.'den tahsilat</t>
        </is>
      </c>
      <c r="E31" t="n">
        <v>120</v>
      </c>
      <c r="F31">
        <f>IFERROR(VLOOKUP(E31,'Hesap Planı'!$A$5:$B$22,2,FALSE),"HESAP PLANINDA YOK")</f>
        <v/>
      </c>
      <c r="H31" s="9" t="n">
        <v>48000</v>
      </c>
    </row>
    <row r="32">
      <c r="A32" s="11" t="n">
        <v>11</v>
      </c>
      <c r="B32" s="12" t="n">
        <v>46052</v>
      </c>
      <c r="C32" s="11" t="inlineStr">
        <is>
          <t>Banka dekontu ÖRN-D-004</t>
        </is>
      </c>
      <c r="D32" s="11" t="inlineStr">
        <is>
          <t>Satıcıya kısmi ödeme</t>
        </is>
      </c>
      <c r="E32" s="11" t="n">
        <v>320</v>
      </c>
      <c r="F32" s="11">
        <f>IFERROR(VLOOKUP(E32,'Hesap Planı'!$A$5:$B$22,2,FALSE),"HESAP PLANINDA YOK")</f>
        <v/>
      </c>
      <c r="G32" s="13" t="n">
        <v>100000</v>
      </c>
      <c r="H32" s="11" t="n"/>
      <c r="I32" s="14">
        <f>IF(ROUND(SUMIF($A$5:$A$200,A32,$G$5:$G$200)-SUMIF($A$5:$A$200,A32,$H$5:$H$200),2)=0,"DENK","DENK DEĞİL")</f>
        <v/>
      </c>
    </row>
    <row r="33">
      <c r="A33" t="n">
        <v>11</v>
      </c>
      <c r="B33" s="8" t="n">
        <v>46052</v>
      </c>
      <c r="C33" t="inlineStr">
        <is>
          <t>Banka dekontu ÖRN-D-004</t>
        </is>
      </c>
      <c r="D33" t="inlineStr">
        <is>
          <t>Satıcıya kısmi ödeme</t>
        </is>
      </c>
      <c r="E33" t="n">
        <v>102</v>
      </c>
      <c r="F33">
        <f>IFERROR(VLOOKUP(E33,'Hesap Planı'!$A$5:$B$22,2,FALSE),"HESAP PLANINDA YOK")</f>
        <v/>
      </c>
      <c r="H33" s="9" t="n">
        <v>100000</v>
      </c>
    </row>
    <row r="34">
      <c r="A34" s="11" t="n">
        <v>12</v>
      </c>
      <c r="B34" s="12" t="n">
        <v>46053</v>
      </c>
      <c r="C34" s="11" t="inlineStr">
        <is>
          <t>Amortisman tablosu</t>
        </is>
      </c>
      <c r="D34" s="11" t="inlineStr">
        <is>
          <t>Ocak ayı amortisman payı (ara dönem)</t>
        </is>
      </c>
      <c r="E34" s="11" t="n">
        <v>796</v>
      </c>
      <c r="F34" s="11">
        <f>IFERROR(VLOOKUP(E34,'Hesap Planı'!$A$5:$B$22,2,FALSE),"HESAP PLANINDA YOK")</f>
        <v/>
      </c>
      <c r="G34" s="13" t="n">
        <v>1500</v>
      </c>
      <c r="H34" s="11" t="n"/>
      <c r="I34" s="14">
        <f>IF(ROUND(SUMIF($A$5:$A$200,A34,$G$5:$G$200)-SUMIF($A$5:$A$200,A34,$H$5:$H$200),2)=0,"DENK","DENK DEĞİL")</f>
        <v/>
      </c>
    </row>
    <row r="35">
      <c r="A35" t="n">
        <v>12</v>
      </c>
      <c r="B35" s="8" t="n">
        <v>46053</v>
      </c>
      <c r="C35" t="inlineStr">
        <is>
          <t>Amortisman tablosu</t>
        </is>
      </c>
      <c r="D35" t="inlineStr">
        <is>
          <t>Ocak ayı amortisman payı (ara dönem)</t>
        </is>
      </c>
      <c r="E35" t="n">
        <v>257</v>
      </c>
      <c r="F35">
        <f>IFERROR(VLOOKUP(E35,'Hesap Planı'!$A$5:$B$22,2,FALSE),"HESAP PLANINDA YOK")</f>
        <v/>
      </c>
      <c r="H35" s="9" t="n">
        <v>1500</v>
      </c>
    </row>
    <row r="36">
      <c r="A36" s="11" t="n">
        <v>13</v>
      </c>
      <c r="B36" s="12" t="n">
        <v>46053</v>
      </c>
      <c r="C36" s="11" t="inlineStr">
        <is>
          <t>Sayım listesi</t>
        </is>
      </c>
      <c r="D36" s="11" t="inlineStr">
        <is>
          <t>Ay sonu sayım: satılan malın maliyeti</t>
        </is>
      </c>
      <c r="E36" s="11" t="n">
        <v>621</v>
      </c>
      <c r="F36" s="11">
        <f>IFERROR(VLOOKUP(E36,'Hesap Planı'!$A$5:$B$22,2,FALSE),"HESAP PLANINDA YOK")</f>
        <v/>
      </c>
      <c r="G36" s="13" t="n">
        <v>50000</v>
      </c>
      <c r="H36" s="11" t="n"/>
      <c r="I36" s="14">
        <f>IF(ROUND(SUMIF($A$5:$A$200,A36,$G$5:$G$200)-SUMIF($A$5:$A$200,A36,$H$5:$H$200),2)=0,"DENK","DENK DEĞİL")</f>
        <v/>
      </c>
    </row>
    <row r="37">
      <c r="A37" t="n">
        <v>13</v>
      </c>
      <c r="B37" s="8" t="n">
        <v>46053</v>
      </c>
      <c r="C37" t="inlineStr">
        <is>
          <t>Sayım listesi</t>
        </is>
      </c>
      <c r="D37" t="inlineStr">
        <is>
          <t>Ay sonu sayım: satılan malın maliyeti</t>
        </is>
      </c>
      <c r="E37" t="n">
        <v>153</v>
      </c>
      <c r="F37">
        <f>IFERROR(VLOOKUP(E37,'Hesap Planı'!$A$5:$B$22,2,FALSE),"HESAP PLANINDA YOK")</f>
        <v/>
      </c>
      <c r="H37" s="9" t="n">
        <v>50000</v>
      </c>
    </row>
    <row r="38">
      <c r="A38" s="11" t="n">
        <v>14</v>
      </c>
      <c r="B38" s="12" t="n">
        <v>46053</v>
      </c>
      <c r="C38" s="11" t="inlineStr">
        <is>
          <t>Gider dağıtım notu</t>
        </is>
      </c>
      <c r="D38" s="11" t="inlineStr">
        <is>
          <t>Gider çeşitleri gelir tablosu hesabına aktarıldı (7/B)</t>
        </is>
      </c>
      <c r="E38" s="11" t="n">
        <v>632</v>
      </c>
      <c r="F38" s="11">
        <f>IFERROR(VLOOKUP(E38,'Hesap Planı'!$A$5:$B$22,2,FALSE),"HESAP PLANINDA YOK")</f>
        <v/>
      </c>
      <c r="G38" s="13" t="n">
        <v>38500</v>
      </c>
      <c r="H38" s="11" t="n"/>
      <c r="I38" s="14">
        <f>IF(ROUND(SUMIF($A$5:$A$200,A38,$G$5:$G$200)-SUMIF($A$5:$A$200,A38,$H$5:$H$200),2)=0,"DENK","DENK DEĞİL")</f>
        <v/>
      </c>
    </row>
    <row r="39">
      <c r="A39" t="n">
        <v>14</v>
      </c>
      <c r="B39" s="8" t="n">
        <v>46053</v>
      </c>
      <c r="C39" t="inlineStr">
        <is>
          <t>Gider dağıtım notu</t>
        </is>
      </c>
      <c r="D39" t="inlineStr">
        <is>
          <t>Gider çeşitleri gelir tablosu hesabına aktarıldı (7/B)</t>
        </is>
      </c>
      <c r="E39" t="n">
        <v>798</v>
      </c>
      <c r="F39">
        <f>IFERROR(VLOOKUP(E39,'Hesap Planı'!$A$5:$B$22,2,FALSE),"HESAP PLANINDA YOK")</f>
        <v/>
      </c>
      <c r="H39" s="9" t="n">
        <v>38500</v>
      </c>
    </row>
    <row r="40">
      <c r="A40" s="11" t="n">
        <v>15</v>
      </c>
      <c r="B40" s="12" t="n">
        <v>46053</v>
      </c>
      <c r="C40" s="11" t="inlineStr">
        <is>
          <t>KDV hesap özeti</t>
        </is>
      </c>
      <c r="D40" s="11" t="inlineStr">
        <is>
          <t>Ocak KDV mahsubu (kalan indirilecek KDV devreder)</t>
        </is>
      </c>
      <c r="E40" s="11" t="n">
        <v>391</v>
      </c>
      <c r="F40" s="11">
        <f>IFERROR(VLOOKUP(E40,'Hesap Planı'!$A$5:$B$22,2,FALSE),"HESAP PLANINDA YOK")</f>
        <v/>
      </c>
      <c r="G40" s="13" t="n">
        <v>20000</v>
      </c>
      <c r="H40" s="11" t="n"/>
      <c r="I40" s="14">
        <f>IF(ROUND(SUMIF($A$5:$A$200,A40,$G$5:$G$200)-SUMIF($A$5:$A$200,A40,$H$5:$H$200),2)=0,"DENK","DENK DEĞİL")</f>
        <v/>
      </c>
    </row>
    <row r="41">
      <c r="A41" t="n">
        <v>15</v>
      </c>
      <c r="B41" s="8" t="n">
        <v>46053</v>
      </c>
      <c r="C41" t="inlineStr">
        <is>
          <t>KDV hesap özeti</t>
        </is>
      </c>
      <c r="D41" t="inlineStr">
        <is>
          <t>Ocak KDV mahsubu (kalan indirilecek KDV devreder)</t>
        </is>
      </c>
      <c r="E41" t="n">
        <v>191</v>
      </c>
      <c r="F41">
        <f>IFERROR(VLOOKUP(E41,'Hesap Planı'!$A$5:$B$22,2,FALSE),"HESAP PLANINDA YOK")</f>
        <v/>
      </c>
      <c r="H41" s="9" t="n">
        <v>20000</v>
      </c>
    </row>
    <row r="42">
      <c r="F42">
        <f>IF(E42="","",IFERROR(VLOOKUP(E42,'Hesap Planı'!$A$5:$B$22,2,FALSE),"HESAP PLANINDA YOK"))</f>
        <v/>
      </c>
    </row>
    <row r="43">
      <c r="F43">
        <f>IF(E43="","",IFERROR(VLOOKUP(E43,'Hesap Planı'!$A$5:$B$22,2,FALSE),"HESAP PLANINDA YOK"))</f>
        <v/>
      </c>
    </row>
    <row r="44">
      <c r="F44">
        <f>IF(E44="","",IFERROR(VLOOKUP(E44,'Hesap Planı'!$A$5:$B$22,2,FALSE),"HESAP PLANINDA YOK"))</f>
        <v/>
      </c>
    </row>
    <row r="45">
      <c r="F45">
        <f>IF(E45="","",IFERROR(VLOOKUP(E45,'Hesap Planı'!$A$5:$B$22,2,FALSE),"HESAP PLANINDA YOK"))</f>
        <v/>
      </c>
    </row>
    <row r="46">
      <c r="F46">
        <f>IF(E46="","",IFERROR(VLOOKUP(E46,'Hesap Planı'!$A$5:$B$22,2,FALSE),"HESAP PLANINDA YOK"))</f>
        <v/>
      </c>
    </row>
    <row r="47">
      <c r="F47">
        <f>IF(E47="","",IFERROR(VLOOKUP(E47,'Hesap Planı'!$A$5:$B$22,2,FALSE),"HESAP PLANINDA YOK"))</f>
        <v/>
      </c>
    </row>
    <row r="48">
      <c r="F48">
        <f>IF(E48="","",IFERROR(VLOOKUP(E48,'Hesap Planı'!$A$5:$B$22,2,FALSE),"HESAP PLANINDA YOK"))</f>
        <v/>
      </c>
    </row>
    <row r="49">
      <c r="F49">
        <f>IF(E49="","",IFERROR(VLOOKUP(E49,'Hesap Planı'!$A$5:$B$22,2,FALSE),"HESAP PLANINDA YOK"))</f>
        <v/>
      </c>
    </row>
    <row r="50">
      <c r="F50">
        <f>IF(E50="","",IFERROR(VLOOKUP(E50,'Hesap Planı'!$A$5:$B$22,2,FALSE),"HESAP PLANINDA YOK"))</f>
        <v/>
      </c>
    </row>
    <row r="51">
      <c r="F51">
        <f>IF(E51="","",IFERROR(VLOOKUP(E51,'Hesap Planı'!$A$5:$B$22,2,FALSE),"HESAP PLANINDA YOK"))</f>
        <v/>
      </c>
    </row>
    <row r="52">
      <c r="F52">
        <f>IF(E52="","",IFERROR(VLOOKUP(E52,'Hesap Planı'!$A$5:$B$22,2,FALSE),"HESAP PLANINDA YOK"))</f>
        <v/>
      </c>
    </row>
    <row r="53">
      <c r="F53">
        <f>IF(E53="","",IFERROR(VLOOKUP(E53,'Hesap Planı'!$A$5:$B$22,2,FALSE),"HESAP PLANINDA YOK"))</f>
        <v/>
      </c>
    </row>
    <row r="54">
      <c r="F54">
        <f>IF(E54="","",IFERROR(VLOOKUP(E54,'Hesap Planı'!$A$5:$B$22,2,FALSE),"HESAP PLANINDA YOK"))</f>
        <v/>
      </c>
    </row>
    <row r="55">
      <c r="F55">
        <f>IF(E55="","",IFERROR(VLOOKUP(E55,'Hesap Planı'!$A$5:$B$22,2,FALSE),"HESAP PLANINDA YOK"))</f>
        <v/>
      </c>
    </row>
    <row r="56">
      <c r="F56">
        <f>IF(E56="","",IFERROR(VLOOKUP(E56,'Hesap Planı'!$A$5:$B$22,2,FALSE),"HESAP PLANINDA YOK"))</f>
        <v/>
      </c>
    </row>
    <row r="57">
      <c r="F57">
        <f>IF(E57="","",IFERROR(VLOOKUP(E57,'Hesap Planı'!$A$5:$B$22,2,FALSE),"HESAP PLANINDA YOK"))</f>
        <v/>
      </c>
    </row>
    <row r="58">
      <c r="F58">
        <f>IF(E58="","",IFERROR(VLOOKUP(E58,'Hesap Planı'!$A$5:$B$22,2,FALSE),"HESAP PLANINDA YOK"))</f>
        <v/>
      </c>
    </row>
    <row r="59">
      <c r="F59">
        <f>IF(E59="","",IFERROR(VLOOKUP(E59,'Hesap Planı'!$A$5:$B$22,2,FALSE),"HESAP PLANINDA YOK"))</f>
        <v/>
      </c>
    </row>
    <row r="60">
      <c r="F60">
        <f>IF(E60="","",IFERROR(VLOOKUP(E60,'Hesap Planı'!$A$5:$B$22,2,FALSE),"HESAP PLANINDA YOK"))</f>
        <v/>
      </c>
    </row>
    <row r="61">
      <c r="F61">
        <f>IF(E61="","",IFERROR(VLOOKUP(E61,'Hesap Planı'!$A$5:$B$22,2,FALSE),"HESAP PLANINDA YOK"))</f>
        <v/>
      </c>
    </row>
    <row r="62">
      <c r="F62">
        <f>IF(E62="","",IFERROR(VLOOKUP(E62,'Hesap Planı'!$A$5:$B$22,2,FALSE),"HESAP PLANINDA YOK"))</f>
        <v/>
      </c>
    </row>
    <row r="63">
      <c r="F63">
        <f>IF(E63="","",IFERROR(VLOOKUP(E63,'Hesap Planı'!$A$5:$B$22,2,FALSE),"HESAP PLANINDA YOK"))</f>
        <v/>
      </c>
    </row>
    <row r="64">
      <c r="F64">
        <f>IF(E64="","",IFERROR(VLOOKUP(E64,'Hesap Planı'!$A$5:$B$22,2,FALSE),"HESAP PLANINDA YOK"))</f>
        <v/>
      </c>
    </row>
    <row r="65">
      <c r="F65">
        <f>IF(E65="","",IFERROR(VLOOKUP(E65,'Hesap Planı'!$A$5:$B$22,2,FALSE),"HESAP PLANINDA YOK"))</f>
        <v/>
      </c>
    </row>
    <row r="66">
      <c r="F66">
        <f>IF(E66="","",IFERROR(VLOOKUP(E66,'Hesap Planı'!$A$5:$B$22,2,FALSE),"HESAP PLANINDA YOK"))</f>
        <v/>
      </c>
    </row>
    <row r="67">
      <c r="F67">
        <f>IF(E67="","",IFERROR(VLOOKUP(E67,'Hesap Planı'!$A$5:$B$22,2,FALSE),"HESAP PLANINDA YOK"))</f>
        <v/>
      </c>
    </row>
    <row r="68">
      <c r="F68">
        <f>IF(E68="","",IFERROR(VLOOKUP(E68,'Hesap Planı'!$A$5:$B$22,2,FALSE),"HESAP PLANINDA YOK"))</f>
        <v/>
      </c>
    </row>
    <row r="69">
      <c r="F69">
        <f>IF(E69="","",IFERROR(VLOOKUP(E69,'Hesap Planı'!$A$5:$B$22,2,FALSE),"HESAP PLANINDA YOK"))</f>
        <v/>
      </c>
    </row>
    <row r="70">
      <c r="F70">
        <f>IF(E70="","",IFERROR(VLOOKUP(E70,'Hesap Planı'!$A$5:$B$22,2,FALSE),"HESAP PLANINDA YOK"))</f>
        <v/>
      </c>
    </row>
    <row r="71">
      <c r="F71">
        <f>IF(E71="","",IFERROR(VLOOKUP(E71,'Hesap Planı'!$A$5:$B$22,2,FALSE),"HESAP PLANINDA YOK"))</f>
        <v/>
      </c>
    </row>
    <row r="72">
      <c r="F72">
        <f>IF(E72="","",IFERROR(VLOOKUP(E72,'Hesap Planı'!$A$5:$B$22,2,FALSE),"HESAP PLANINDA YOK"))</f>
        <v/>
      </c>
    </row>
    <row r="73">
      <c r="F73">
        <f>IF(E73="","",IFERROR(VLOOKUP(E73,'Hesap Planı'!$A$5:$B$22,2,FALSE),"HESAP PLANINDA YOK"))</f>
        <v/>
      </c>
    </row>
    <row r="74">
      <c r="F74">
        <f>IF(E74="","",IFERROR(VLOOKUP(E74,'Hesap Planı'!$A$5:$B$22,2,FALSE),"HESAP PLANINDA YOK"))</f>
        <v/>
      </c>
    </row>
    <row r="75">
      <c r="F75">
        <f>IF(E75="","",IFERROR(VLOOKUP(E75,'Hesap Planı'!$A$5:$B$22,2,FALSE),"HESAP PLANINDA YOK"))</f>
        <v/>
      </c>
    </row>
    <row r="76">
      <c r="F76">
        <f>IF(E76="","",IFERROR(VLOOKUP(E76,'Hesap Planı'!$A$5:$B$22,2,FALSE),"HESAP PLANINDA YOK"))</f>
        <v/>
      </c>
    </row>
    <row r="77">
      <c r="F77">
        <f>IF(E77="","",IFERROR(VLOOKUP(E77,'Hesap Planı'!$A$5:$B$22,2,FALSE),"HESAP PLANINDA YOK"))</f>
        <v/>
      </c>
    </row>
    <row r="78">
      <c r="F78">
        <f>IF(E78="","",IFERROR(VLOOKUP(E78,'Hesap Planı'!$A$5:$B$22,2,FALSE),"HESAP PLANINDA YOK"))</f>
        <v/>
      </c>
    </row>
    <row r="79">
      <c r="F79">
        <f>IF(E79="","",IFERROR(VLOOKUP(E79,'Hesap Planı'!$A$5:$B$22,2,FALSE),"HESAP PLANINDA YOK"))</f>
        <v/>
      </c>
    </row>
    <row r="80">
      <c r="F80">
        <f>IF(E80="","",IFERROR(VLOOKUP(E80,'Hesap Planı'!$A$5:$B$22,2,FALSE),"HESAP PLANINDA YOK"))</f>
        <v/>
      </c>
    </row>
    <row r="81">
      <c r="F81">
        <f>IF(E81="","",IFERROR(VLOOKUP(E81,'Hesap Planı'!$A$5:$B$22,2,FALSE),"HESAP PLANINDA YOK"))</f>
        <v/>
      </c>
    </row>
    <row r="82">
      <c r="F82">
        <f>IF(E82="","",IFERROR(VLOOKUP(E82,'Hesap Planı'!$A$5:$B$22,2,FALSE),"HESAP PLANINDA YOK"))</f>
        <v/>
      </c>
    </row>
    <row r="83">
      <c r="F83">
        <f>IF(E83="","",IFERROR(VLOOKUP(E83,'Hesap Planı'!$A$5:$B$22,2,FALSE),"HESAP PLANINDA YOK"))</f>
        <v/>
      </c>
    </row>
    <row r="84">
      <c r="F84">
        <f>IF(E84="","",IFERROR(VLOOKUP(E84,'Hesap Planı'!$A$5:$B$22,2,FALSE),"HESAP PLANINDA YOK"))</f>
        <v/>
      </c>
    </row>
    <row r="85">
      <c r="F85">
        <f>IF(E85="","",IFERROR(VLOOKUP(E85,'Hesap Planı'!$A$5:$B$22,2,FALSE),"HESAP PLANINDA YOK"))</f>
        <v/>
      </c>
    </row>
    <row r="86">
      <c r="F86">
        <f>IF(E86="","",IFERROR(VLOOKUP(E86,'Hesap Planı'!$A$5:$B$22,2,FALSE),"HESAP PLANINDA YOK"))</f>
        <v/>
      </c>
    </row>
    <row r="87">
      <c r="F87">
        <f>IF(E87="","",IFERROR(VLOOKUP(E87,'Hesap Planı'!$A$5:$B$22,2,FALSE),"HESAP PLANINDA YOK"))</f>
        <v/>
      </c>
    </row>
    <row r="88">
      <c r="F88">
        <f>IF(E88="","",IFERROR(VLOOKUP(E88,'Hesap Planı'!$A$5:$B$22,2,FALSE),"HESAP PLANINDA YOK"))</f>
        <v/>
      </c>
    </row>
    <row r="89">
      <c r="F89">
        <f>IF(E89="","",IFERROR(VLOOKUP(E89,'Hesap Planı'!$A$5:$B$22,2,FALSE),"HESAP PLANINDA YOK"))</f>
        <v/>
      </c>
    </row>
    <row r="90">
      <c r="F90">
        <f>IF(E90="","",IFERROR(VLOOKUP(E90,'Hesap Planı'!$A$5:$B$22,2,FALSE),"HESAP PLANINDA YOK"))</f>
        <v/>
      </c>
    </row>
    <row r="91">
      <c r="F91">
        <f>IF(E91="","",IFERROR(VLOOKUP(E91,'Hesap Planı'!$A$5:$B$22,2,FALSE),"HESAP PLANINDA YOK"))</f>
        <v/>
      </c>
    </row>
    <row r="92">
      <c r="F92">
        <f>IF(E92="","",IFERROR(VLOOKUP(E92,'Hesap Planı'!$A$5:$B$22,2,FALSE),"HESAP PLANINDA YOK"))</f>
        <v/>
      </c>
    </row>
    <row r="93">
      <c r="F93">
        <f>IF(E93="","",IFERROR(VLOOKUP(E93,'Hesap Planı'!$A$5:$B$22,2,FALSE),"HESAP PLANINDA YOK"))</f>
        <v/>
      </c>
    </row>
    <row r="94">
      <c r="F94">
        <f>IF(E94="","",IFERROR(VLOOKUP(E94,'Hesap Planı'!$A$5:$B$22,2,FALSE),"HESAP PLANINDA YOK"))</f>
        <v/>
      </c>
    </row>
    <row r="95">
      <c r="F95">
        <f>IF(E95="","",IFERROR(VLOOKUP(E95,'Hesap Planı'!$A$5:$B$22,2,FALSE),"HESAP PLANINDA YOK"))</f>
        <v/>
      </c>
    </row>
    <row r="96">
      <c r="F96">
        <f>IF(E96="","",IFERROR(VLOOKUP(E96,'Hesap Planı'!$A$5:$B$22,2,FALSE),"HESAP PLANINDA YOK"))</f>
        <v/>
      </c>
    </row>
    <row r="97">
      <c r="F97">
        <f>IF(E97="","",IFERROR(VLOOKUP(E97,'Hesap Planı'!$A$5:$B$22,2,FALSE),"HESAP PLANINDA YOK"))</f>
        <v/>
      </c>
    </row>
    <row r="98">
      <c r="F98">
        <f>IF(E98="","",IFERROR(VLOOKUP(E98,'Hesap Planı'!$A$5:$B$22,2,FALSE),"HESAP PLANINDA YOK"))</f>
        <v/>
      </c>
    </row>
    <row r="99">
      <c r="F99">
        <f>IF(E99="","",IFERROR(VLOOKUP(E99,'Hesap Planı'!$A$5:$B$22,2,FALSE),"HESAP PLANINDA YOK"))</f>
        <v/>
      </c>
    </row>
    <row r="100">
      <c r="F100">
        <f>IF(E100="","",IFERROR(VLOOKUP(E100,'Hesap Planı'!$A$5:$B$22,2,FALSE),"HESAP PLANINDA YOK"))</f>
        <v/>
      </c>
    </row>
    <row r="101">
      <c r="F101">
        <f>IF(E101="","",IFERROR(VLOOKUP(E101,'Hesap Planı'!$A$5:$B$22,2,FALSE),"HESAP PLANINDA YOK"))</f>
        <v/>
      </c>
    </row>
    <row r="102">
      <c r="F102">
        <f>IF(E102="","",IFERROR(VLOOKUP(E102,'Hesap Planı'!$A$5:$B$22,2,FALSE),"HESAP PLANINDA YOK"))</f>
        <v/>
      </c>
    </row>
    <row r="103">
      <c r="F103">
        <f>IF(E103="","",IFERROR(VLOOKUP(E103,'Hesap Planı'!$A$5:$B$22,2,FALSE),"HESAP PLANINDA YOK"))</f>
        <v/>
      </c>
    </row>
    <row r="104">
      <c r="F104">
        <f>IF(E104="","",IFERROR(VLOOKUP(E104,'Hesap Planı'!$A$5:$B$22,2,FALSE),"HESAP PLANINDA YOK"))</f>
        <v/>
      </c>
    </row>
    <row r="105">
      <c r="F105">
        <f>IF(E105="","",IFERROR(VLOOKUP(E105,'Hesap Planı'!$A$5:$B$22,2,FALSE),"HESAP PLANINDA YOK"))</f>
        <v/>
      </c>
    </row>
    <row r="106">
      <c r="F106">
        <f>IF(E106="","",IFERROR(VLOOKUP(E106,'Hesap Planı'!$A$5:$B$22,2,FALSE),"HESAP PLANINDA YOK"))</f>
        <v/>
      </c>
    </row>
    <row r="107">
      <c r="F107">
        <f>IF(E107="","",IFERROR(VLOOKUP(E107,'Hesap Planı'!$A$5:$B$22,2,FALSE),"HESAP PLANINDA YOK"))</f>
        <v/>
      </c>
    </row>
    <row r="108">
      <c r="F108">
        <f>IF(E108="","",IFERROR(VLOOKUP(E108,'Hesap Planı'!$A$5:$B$22,2,FALSE),"HESAP PLANINDA YOK"))</f>
        <v/>
      </c>
    </row>
    <row r="109">
      <c r="F109">
        <f>IF(E109="","",IFERROR(VLOOKUP(E109,'Hesap Planı'!$A$5:$B$22,2,FALSE),"HESAP PLANINDA YOK"))</f>
        <v/>
      </c>
    </row>
    <row r="110">
      <c r="F110">
        <f>IF(E110="","",IFERROR(VLOOKUP(E110,'Hesap Planı'!$A$5:$B$22,2,FALSE),"HESAP PLANINDA YOK"))</f>
        <v/>
      </c>
    </row>
    <row r="111">
      <c r="F111">
        <f>IF(E111="","",IFERROR(VLOOKUP(E111,'Hesap Planı'!$A$5:$B$22,2,FALSE),"HESAP PLANINDA YOK"))</f>
        <v/>
      </c>
    </row>
    <row r="112">
      <c r="F112">
        <f>IF(E112="","",IFERROR(VLOOKUP(E112,'Hesap Planı'!$A$5:$B$22,2,FALSE),"HESAP PLANINDA YOK"))</f>
        <v/>
      </c>
    </row>
    <row r="113">
      <c r="F113">
        <f>IF(E113="","",IFERROR(VLOOKUP(E113,'Hesap Planı'!$A$5:$B$22,2,FALSE),"HESAP PLANINDA YOK"))</f>
        <v/>
      </c>
    </row>
    <row r="114">
      <c r="F114">
        <f>IF(E114="","",IFERROR(VLOOKUP(E114,'Hesap Planı'!$A$5:$B$22,2,FALSE),"HESAP PLANINDA YOK"))</f>
        <v/>
      </c>
    </row>
    <row r="115">
      <c r="F115">
        <f>IF(E115="","",IFERROR(VLOOKUP(E115,'Hesap Planı'!$A$5:$B$22,2,FALSE),"HESAP PLANINDA YOK"))</f>
        <v/>
      </c>
    </row>
    <row r="116">
      <c r="F116">
        <f>IF(E116="","",IFERROR(VLOOKUP(E116,'Hesap Planı'!$A$5:$B$22,2,FALSE),"HESAP PLANINDA YOK"))</f>
        <v/>
      </c>
    </row>
    <row r="117">
      <c r="F117">
        <f>IF(E117="","",IFERROR(VLOOKUP(E117,'Hesap Planı'!$A$5:$B$22,2,FALSE),"HESAP PLANINDA YOK"))</f>
        <v/>
      </c>
    </row>
    <row r="118">
      <c r="F118">
        <f>IF(E118="","",IFERROR(VLOOKUP(E118,'Hesap Planı'!$A$5:$B$22,2,FALSE),"HESAP PLANINDA YOK"))</f>
        <v/>
      </c>
    </row>
    <row r="119">
      <c r="F119">
        <f>IF(E119="","",IFERROR(VLOOKUP(E119,'Hesap Planı'!$A$5:$B$22,2,FALSE),"HESAP PLANINDA YOK"))</f>
        <v/>
      </c>
    </row>
    <row r="120">
      <c r="F120">
        <f>IF(E120="","",IFERROR(VLOOKUP(E120,'Hesap Planı'!$A$5:$B$22,2,FALSE),"HESAP PLANINDA YOK"))</f>
        <v/>
      </c>
    </row>
    <row r="121">
      <c r="F121">
        <f>IF(E121="","",IFERROR(VLOOKUP(E121,'Hesap Planı'!$A$5:$B$22,2,FALSE),"HESAP PLANINDA YOK"))</f>
        <v/>
      </c>
    </row>
    <row r="122">
      <c r="F122">
        <f>IF(E122="","",IFERROR(VLOOKUP(E122,'Hesap Planı'!$A$5:$B$22,2,FALSE),"HESAP PLANINDA YOK"))</f>
        <v/>
      </c>
    </row>
    <row r="123">
      <c r="F123">
        <f>IF(E123="","",IFERROR(VLOOKUP(E123,'Hesap Planı'!$A$5:$B$22,2,FALSE),"HESAP PLANINDA YOK"))</f>
        <v/>
      </c>
    </row>
    <row r="124">
      <c r="F124">
        <f>IF(E124="","",IFERROR(VLOOKUP(E124,'Hesap Planı'!$A$5:$B$22,2,FALSE),"HESAP PLANINDA YOK"))</f>
        <v/>
      </c>
    </row>
    <row r="125">
      <c r="F125">
        <f>IF(E125="","",IFERROR(VLOOKUP(E125,'Hesap Planı'!$A$5:$B$22,2,FALSE),"HESAP PLANINDA YOK"))</f>
        <v/>
      </c>
    </row>
    <row r="126">
      <c r="F126">
        <f>IF(E126="","",IFERROR(VLOOKUP(E126,'Hesap Planı'!$A$5:$B$22,2,FALSE),"HESAP PLANINDA YOK"))</f>
        <v/>
      </c>
    </row>
    <row r="127">
      <c r="F127">
        <f>IF(E127="","",IFERROR(VLOOKUP(E127,'Hesap Planı'!$A$5:$B$22,2,FALSE),"HESAP PLANINDA YOK"))</f>
        <v/>
      </c>
    </row>
    <row r="128">
      <c r="F128">
        <f>IF(E128="","",IFERROR(VLOOKUP(E128,'Hesap Planı'!$A$5:$B$22,2,FALSE),"HESAP PLANINDA YOK"))</f>
        <v/>
      </c>
    </row>
    <row r="129">
      <c r="F129">
        <f>IF(E129="","",IFERROR(VLOOKUP(E129,'Hesap Planı'!$A$5:$B$22,2,FALSE),"HESAP PLANINDA YOK"))</f>
        <v/>
      </c>
    </row>
    <row r="130">
      <c r="F130">
        <f>IF(E130="","",IFERROR(VLOOKUP(E130,'Hesap Planı'!$A$5:$B$22,2,FALSE),"HESAP PLANINDA YOK"))</f>
        <v/>
      </c>
    </row>
    <row r="131">
      <c r="F131">
        <f>IF(E131="","",IFERROR(VLOOKUP(E131,'Hesap Planı'!$A$5:$B$22,2,FALSE),"HESAP PLANINDA YOK"))</f>
        <v/>
      </c>
    </row>
    <row r="132">
      <c r="F132">
        <f>IF(E132="","",IFERROR(VLOOKUP(E132,'Hesap Planı'!$A$5:$B$22,2,FALSE),"HESAP PLANINDA YOK"))</f>
        <v/>
      </c>
    </row>
    <row r="133">
      <c r="F133">
        <f>IF(E133="","",IFERROR(VLOOKUP(E133,'Hesap Planı'!$A$5:$B$22,2,FALSE),"HESAP PLANINDA YOK"))</f>
        <v/>
      </c>
    </row>
    <row r="134">
      <c r="F134">
        <f>IF(E134="","",IFERROR(VLOOKUP(E134,'Hesap Planı'!$A$5:$B$22,2,FALSE),"HESAP PLANINDA YOK"))</f>
        <v/>
      </c>
    </row>
    <row r="135">
      <c r="F135">
        <f>IF(E135="","",IFERROR(VLOOKUP(E135,'Hesap Planı'!$A$5:$B$22,2,FALSE),"HESAP PLANINDA YOK"))</f>
        <v/>
      </c>
    </row>
    <row r="136">
      <c r="F136">
        <f>IF(E136="","",IFERROR(VLOOKUP(E136,'Hesap Planı'!$A$5:$B$22,2,FALSE),"HESAP PLANINDA YOK"))</f>
        <v/>
      </c>
    </row>
    <row r="137">
      <c r="F137">
        <f>IF(E137="","",IFERROR(VLOOKUP(E137,'Hesap Planı'!$A$5:$B$22,2,FALSE),"HESAP PLANINDA YOK"))</f>
        <v/>
      </c>
    </row>
    <row r="138">
      <c r="F138">
        <f>IF(E138="","",IFERROR(VLOOKUP(E138,'Hesap Planı'!$A$5:$B$22,2,FALSE),"HESAP PLANINDA YOK"))</f>
        <v/>
      </c>
    </row>
    <row r="139">
      <c r="F139">
        <f>IF(E139="","",IFERROR(VLOOKUP(E139,'Hesap Planı'!$A$5:$B$22,2,FALSE),"HESAP PLANINDA YOK"))</f>
        <v/>
      </c>
    </row>
    <row r="140">
      <c r="F140">
        <f>IF(E140="","",IFERROR(VLOOKUP(E140,'Hesap Planı'!$A$5:$B$22,2,FALSE),"HESAP PLANINDA YOK"))</f>
        <v/>
      </c>
    </row>
    <row r="141">
      <c r="F141">
        <f>IF(E141="","",IFERROR(VLOOKUP(E141,'Hesap Planı'!$A$5:$B$22,2,FALSE),"HESAP PLANINDA YOK"))</f>
        <v/>
      </c>
    </row>
    <row r="142">
      <c r="F142">
        <f>IF(E142="","",IFERROR(VLOOKUP(E142,'Hesap Planı'!$A$5:$B$22,2,FALSE),"HESAP PLANINDA YOK"))</f>
        <v/>
      </c>
    </row>
    <row r="143">
      <c r="F143">
        <f>IF(E143="","",IFERROR(VLOOKUP(E143,'Hesap Planı'!$A$5:$B$22,2,FALSE),"HESAP PLANINDA YOK"))</f>
        <v/>
      </c>
    </row>
    <row r="144">
      <c r="F144">
        <f>IF(E144="","",IFERROR(VLOOKUP(E144,'Hesap Planı'!$A$5:$B$22,2,FALSE),"HESAP PLANINDA YOK"))</f>
        <v/>
      </c>
    </row>
    <row r="145">
      <c r="F145">
        <f>IF(E145="","",IFERROR(VLOOKUP(E145,'Hesap Planı'!$A$5:$B$22,2,FALSE),"HESAP PLANINDA YOK"))</f>
        <v/>
      </c>
    </row>
    <row r="146">
      <c r="F146">
        <f>IF(E146="","",IFERROR(VLOOKUP(E146,'Hesap Planı'!$A$5:$B$22,2,FALSE),"HESAP PLANINDA YOK"))</f>
        <v/>
      </c>
    </row>
    <row r="147">
      <c r="F147">
        <f>IF(E147="","",IFERROR(VLOOKUP(E147,'Hesap Planı'!$A$5:$B$22,2,FALSE),"HESAP PLANINDA YOK"))</f>
        <v/>
      </c>
    </row>
    <row r="148">
      <c r="F148">
        <f>IF(E148="","",IFERROR(VLOOKUP(E148,'Hesap Planı'!$A$5:$B$22,2,FALSE),"HESAP PLANINDA YOK"))</f>
        <v/>
      </c>
    </row>
    <row r="149">
      <c r="F149">
        <f>IF(E149="","",IFERROR(VLOOKUP(E149,'Hesap Planı'!$A$5:$B$22,2,FALSE),"HESAP PLANINDA YOK"))</f>
        <v/>
      </c>
    </row>
    <row r="150">
      <c r="F150">
        <f>IF(E150="","",IFERROR(VLOOKUP(E150,'Hesap Planı'!$A$5:$B$22,2,FALSE),"HESAP PLANINDA YOK"))</f>
        <v/>
      </c>
    </row>
    <row r="151">
      <c r="F151">
        <f>IF(E151="","",IFERROR(VLOOKUP(E151,'Hesap Planı'!$A$5:$B$22,2,FALSE),"HESAP PLANINDA YOK"))</f>
        <v/>
      </c>
    </row>
    <row r="152">
      <c r="F152">
        <f>IF(E152="","",IFERROR(VLOOKUP(E152,'Hesap Planı'!$A$5:$B$22,2,FALSE),"HESAP PLANINDA YOK"))</f>
        <v/>
      </c>
    </row>
    <row r="153">
      <c r="F153">
        <f>IF(E153="","",IFERROR(VLOOKUP(E153,'Hesap Planı'!$A$5:$B$22,2,FALSE),"HESAP PLANINDA YOK"))</f>
        <v/>
      </c>
    </row>
    <row r="154">
      <c r="F154">
        <f>IF(E154="","",IFERROR(VLOOKUP(E154,'Hesap Planı'!$A$5:$B$22,2,FALSE),"HESAP PLANINDA YOK"))</f>
        <v/>
      </c>
    </row>
    <row r="155">
      <c r="F155">
        <f>IF(E155="","",IFERROR(VLOOKUP(E155,'Hesap Planı'!$A$5:$B$22,2,FALSE),"HESAP PLANINDA YOK"))</f>
        <v/>
      </c>
    </row>
    <row r="156">
      <c r="F156">
        <f>IF(E156="","",IFERROR(VLOOKUP(E156,'Hesap Planı'!$A$5:$B$22,2,FALSE),"HESAP PLANINDA YOK"))</f>
        <v/>
      </c>
    </row>
    <row r="157">
      <c r="F157">
        <f>IF(E157="","",IFERROR(VLOOKUP(E157,'Hesap Planı'!$A$5:$B$22,2,FALSE),"HESAP PLANINDA YOK"))</f>
        <v/>
      </c>
    </row>
    <row r="158">
      <c r="F158">
        <f>IF(E158="","",IFERROR(VLOOKUP(E158,'Hesap Planı'!$A$5:$B$22,2,FALSE),"HESAP PLANINDA YOK"))</f>
        <v/>
      </c>
    </row>
    <row r="159">
      <c r="F159">
        <f>IF(E159="","",IFERROR(VLOOKUP(E159,'Hesap Planı'!$A$5:$B$22,2,FALSE),"HESAP PLANINDA YOK"))</f>
        <v/>
      </c>
    </row>
    <row r="160">
      <c r="F160">
        <f>IF(E160="","",IFERROR(VLOOKUP(E160,'Hesap Planı'!$A$5:$B$22,2,FALSE),"HESAP PLANINDA YOK"))</f>
        <v/>
      </c>
    </row>
    <row r="161">
      <c r="F161">
        <f>IF(E161="","",IFERROR(VLOOKUP(E161,'Hesap Planı'!$A$5:$B$22,2,FALSE),"HESAP PLANINDA YOK"))</f>
        <v/>
      </c>
    </row>
    <row r="162">
      <c r="F162">
        <f>IF(E162="","",IFERROR(VLOOKUP(E162,'Hesap Planı'!$A$5:$B$22,2,FALSE),"HESAP PLANINDA YOK"))</f>
        <v/>
      </c>
    </row>
    <row r="163">
      <c r="F163">
        <f>IF(E163="","",IFERROR(VLOOKUP(E163,'Hesap Planı'!$A$5:$B$22,2,FALSE),"HESAP PLANINDA YOK"))</f>
        <v/>
      </c>
    </row>
    <row r="164">
      <c r="F164">
        <f>IF(E164="","",IFERROR(VLOOKUP(E164,'Hesap Planı'!$A$5:$B$22,2,FALSE),"HESAP PLANINDA YOK"))</f>
        <v/>
      </c>
    </row>
    <row r="165">
      <c r="F165">
        <f>IF(E165="","",IFERROR(VLOOKUP(E165,'Hesap Planı'!$A$5:$B$22,2,FALSE),"HESAP PLANINDA YOK"))</f>
        <v/>
      </c>
    </row>
    <row r="166">
      <c r="F166">
        <f>IF(E166="","",IFERROR(VLOOKUP(E166,'Hesap Planı'!$A$5:$B$22,2,FALSE),"HESAP PLANINDA YOK"))</f>
        <v/>
      </c>
    </row>
    <row r="167">
      <c r="F167">
        <f>IF(E167="","",IFERROR(VLOOKUP(E167,'Hesap Planı'!$A$5:$B$22,2,FALSE),"HESAP PLANINDA YOK"))</f>
        <v/>
      </c>
    </row>
    <row r="168">
      <c r="F168">
        <f>IF(E168="","",IFERROR(VLOOKUP(E168,'Hesap Planı'!$A$5:$B$22,2,FALSE),"HESAP PLANINDA YOK"))</f>
        <v/>
      </c>
    </row>
    <row r="169">
      <c r="F169">
        <f>IF(E169="","",IFERROR(VLOOKUP(E169,'Hesap Planı'!$A$5:$B$22,2,FALSE),"HESAP PLANINDA YOK"))</f>
        <v/>
      </c>
    </row>
    <row r="170">
      <c r="F170">
        <f>IF(E170="","",IFERROR(VLOOKUP(E170,'Hesap Planı'!$A$5:$B$22,2,FALSE),"HESAP PLANINDA YOK"))</f>
        <v/>
      </c>
    </row>
    <row r="171">
      <c r="F171">
        <f>IF(E171="","",IFERROR(VLOOKUP(E171,'Hesap Planı'!$A$5:$B$22,2,FALSE),"HESAP PLANINDA YOK"))</f>
        <v/>
      </c>
    </row>
    <row r="172">
      <c r="F172">
        <f>IF(E172="","",IFERROR(VLOOKUP(E172,'Hesap Planı'!$A$5:$B$22,2,FALSE),"HESAP PLANINDA YOK"))</f>
        <v/>
      </c>
    </row>
    <row r="173">
      <c r="F173">
        <f>IF(E173="","",IFERROR(VLOOKUP(E173,'Hesap Planı'!$A$5:$B$22,2,FALSE),"HESAP PLANINDA YOK"))</f>
        <v/>
      </c>
    </row>
    <row r="174">
      <c r="F174">
        <f>IF(E174="","",IFERROR(VLOOKUP(E174,'Hesap Planı'!$A$5:$B$22,2,FALSE),"HESAP PLANINDA YOK"))</f>
        <v/>
      </c>
    </row>
    <row r="175">
      <c r="F175">
        <f>IF(E175="","",IFERROR(VLOOKUP(E175,'Hesap Planı'!$A$5:$B$22,2,FALSE),"HESAP PLANINDA YOK"))</f>
        <v/>
      </c>
    </row>
    <row r="176">
      <c r="F176">
        <f>IF(E176="","",IFERROR(VLOOKUP(E176,'Hesap Planı'!$A$5:$B$22,2,FALSE),"HESAP PLANINDA YOK"))</f>
        <v/>
      </c>
    </row>
    <row r="177">
      <c r="F177">
        <f>IF(E177="","",IFERROR(VLOOKUP(E177,'Hesap Planı'!$A$5:$B$22,2,FALSE),"HESAP PLANINDA YOK"))</f>
        <v/>
      </c>
    </row>
    <row r="178">
      <c r="F178">
        <f>IF(E178="","",IFERROR(VLOOKUP(E178,'Hesap Planı'!$A$5:$B$22,2,FALSE),"HESAP PLANINDA YOK"))</f>
        <v/>
      </c>
    </row>
    <row r="179">
      <c r="F179">
        <f>IF(E179="","",IFERROR(VLOOKUP(E179,'Hesap Planı'!$A$5:$B$22,2,FALSE),"HESAP PLANINDA YOK"))</f>
        <v/>
      </c>
    </row>
    <row r="180">
      <c r="F180">
        <f>IF(E180="","",IFERROR(VLOOKUP(E180,'Hesap Planı'!$A$5:$B$22,2,FALSE),"HESAP PLANINDA YOK"))</f>
        <v/>
      </c>
    </row>
    <row r="181">
      <c r="F181">
        <f>IF(E181="","",IFERROR(VLOOKUP(E181,'Hesap Planı'!$A$5:$B$22,2,FALSE),"HESAP PLANINDA YOK"))</f>
        <v/>
      </c>
    </row>
    <row r="182">
      <c r="F182">
        <f>IF(E182="","",IFERROR(VLOOKUP(E182,'Hesap Planı'!$A$5:$B$22,2,FALSE),"HESAP PLANINDA YOK"))</f>
        <v/>
      </c>
    </row>
    <row r="183">
      <c r="F183">
        <f>IF(E183="","",IFERROR(VLOOKUP(E183,'Hesap Planı'!$A$5:$B$22,2,FALSE),"HESAP PLANINDA YOK"))</f>
        <v/>
      </c>
    </row>
    <row r="184">
      <c r="F184">
        <f>IF(E184="","",IFERROR(VLOOKUP(E184,'Hesap Planı'!$A$5:$B$22,2,FALSE),"HESAP PLANINDA YOK"))</f>
        <v/>
      </c>
    </row>
    <row r="185">
      <c r="F185">
        <f>IF(E185="","",IFERROR(VLOOKUP(E185,'Hesap Planı'!$A$5:$B$22,2,FALSE),"HESAP PLANINDA YOK"))</f>
        <v/>
      </c>
    </row>
    <row r="186">
      <c r="F186">
        <f>IF(E186="","",IFERROR(VLOOKUP(E186,'Hesap Planı'!$A$5:$B$22,2,FALSE),"HESAP PLANINDA YOK"))</f>
        <v/>
      </c>
    </row>
    <row r="187">
      <c r="F187">
        <f>IF(E187="","",IFERROR(VLOOKUP(E187,'Hesap Planı'!$A$5:$B$22,2,FALSE),"HESAP PLANINDA YOK"))</f>
        <v/>
      </c>
    </row>
    <row r="188">
      <c r="F188">
        <f>IF(E188="","",IFERROR(VLOOKUP(E188,'Hesap Planı'!$A$5:$B$22,2,FALSE),"HESAP PLANINDA YOK"))</f>
        <v/>
      </c>
    </row>
    <row r="189">
      <c r="F189">
        <f>IF(E189="","",IFERROR(VLOOKUP(E189,'Hesap Planı'!$A$5:$B$22,2,FALSE),"HESAP PLANINDA YOK"))</f>
        <v/>
      </c>
    </row>
    <row r="190">
      <c r="F190">
        <f>IF(E190="","",IFERROR(VLOOKUP(E190,'Hesap Planı'!$A$5:$B$22,2,FALSE),"HESAP PLANINDA YOK"))</f>
        <v/>
      </c>
    </row>
    <row r="191">
      <c r="F191">
        <f>IF(E191="","",IFERROR(VLOOKUP(E191,'Hesap Planı'!$A$5:$B$22,2,FALSE),"HESAP PLANINDA YOK"))</f>
        <v/>
      </c>
    </row>
    <row r="192">
      <c r="F192">
        <f>IF(E192="","",IFERROR(VLOOKUP(E192,'Hesap Planı'!$A$5:$B$22,2,FALSE),"HESAP PLANINDA YOK"))</f>
        <v/>
      </c>
    </row>
    <row r="193">
      <c r="F193">
        <f>IF(E193="","",IFERROR(VLOOKUP(E193,'Hesap Planı'!$A$5:$B$22,2,FALSE),"HESAP PLANINDA YOK"))</f>
        <v/>
      </c>
    </row>
    <row r="194">
      <c r="F194">
        <f>IF(E194="","",IFERROR(VLOOKUP(E194,'Hesap Planı'!$A$5:$B$22,2,FALSE),"HESAP PLANINDA YOK"))</f>
        <v/>
      </c>
    </row>
    <row r="195">
      <c r="F195">
        <f>IF(E195="","",IFERROR(VLOOKUP(E195,'Hesap Planı'!$A$5:$B$22,2,FALSE),"HESAP PLANINDA YOK"))</f>
        <v/>
      </c>
    </row>
    <row r="196">
      <c r="F196">
        <f>IF(E196="","",IFERROR(VLOOKUP(E196,'Hesap Planı'!$A$5:$B$22,2,FALSE),"HESAP PLANINDA YOK"))</f>
        <v/>
      </c>
    </row>
    <row r="197">
      <c r="F197">
        <f>IF(E197="","",IFERROR(VLOOKUP(E197,'Hesap Planı'!$A$5:$B$22,2,FALSE),"HESAP PLANINDA YOK"))</f>
        <v/>
      </c>
    </row>
    <row r="198">
      <c r="F198">
        <f>IF(E198="","",IFERROR(VLOOKUP(E198,'Hesap Planı'!$A$5:$B$22,2,FALSE),"HESAP PLANINDA YOK"))</f>
        <v/>
      </c>
    </row>
    <row r="199">
      <c r="F199">
        <f>IF(E199="","",IFERROR(VLOOKUP(E199,'Hesap Planı'!$A$5:$B$22,2,FALSE),"HESAP PLANINDA YOK"))</f>
        <v/>
      </c>
    </row>
    <row r="200">
      <c r="F200">
        <f>IF(E200="","",IFERROR(VLOOKUP(E200,'Hesap Planı'!$A$5:$B$22,2,FALSE),"HESAP PLANINDA YOK"))</f>
        <v/>
      </c>
    </row>
    <row r="201">
      <c r="F201" s="15" t="inlineStr">
        <is>
          <t>TOPLAM</t>
        </is>
      </c>
      <c r="G201" s="16">
        <f>SUM(G5:G200)</f>
        <v/>
      </c>
      <c r="H201" s="16">
        <f>SUM(H5:H200)</f>
        <v/>
      </c>
      <c r="I201" s="17">
        <f>IF(ROUND(G201-H201,2)=0,"DENK","DENK DEĞİL")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6" customWidth="1" min="3" max="3"/>
    <col width="14" customWidth="1" min="4" max="4"/>
    <col width="14" customWidth="1" min="5" max="5"/>
    <col width="14" customWidth="1" min="6" max="6"/>
    <col width="9" customWidth="1" min="7" max="7"/>
  </cols>
  <sheetData>
    <row r="1">
      <c r="A1" s="1" t="inlineStr">
        <is>
          <t>Büyük Defter (Defteri Kebir) — Ocak 2026</t>
        </is>
      </c>
    </row>
    <row r="2">
      <c r="A2" s="2" t="inlineStr">
        <is>
          <t>Yevmiyedeki her satır kendi hesabına taşınır; bakiye = borç − alacak (artı: borç bakiyesi, eksi: alacak bakiyesi).</t>
        </is>
      </c>
    </row>
    <row r="4">
      <c r="A4" s="18" t="inlineStr">
        <is>
          <t>100 · Kasa</t>
        </is>
      </c>
    </row>
    <row r="5">
      <c r="A5" s="4" t="inlineStr">
        <is>
          <t>Tarih</t>
        </is>
      </c>
      <c r="B5" s="4" t="inlineStr">
        <is>
          <t>Madde</t>
        </is>
      </c>
      <c r="C5" s="4" t="inlineStr">
        <is>
          <t>Açıklama</t>
        </is>
      </c>
      <c r="D5" s="4" t="inlineStr">
        <is>
          <t>Borç</t>
        </is>
      </c>
      <c r="E5" s="4" t="inlineStr">
        <is>
          <t>Alacak</t>
        </is>
      </c>
      <c r="F5" s="4" t="inlineStr">
        <is>
          <t>Bakiye</t>
        </is>
      </c>
      <c r="G5" s="4" t="inlineStr">
        <is>
          <t>Yön</t>
        </is>
      </c>
    </row>
    <row r="6">
      <c r="A6" s="8">
        <f>Yevmiye!B7</f>
        <v/>
      </c>
      <c r="B6">
        <f>Yevmiye!A7</f>
        <v/>
      </c>
      <c r="C6">
        <f>Yevmiye!D7</f>
        <v/>
      </c>
      <c r="D6" s="9">
        <f>N(Yevmiye!G7)</f>
        <v/>
      </c>
      <c r="E6" s="9">
        <f>N(Yevmiye!H7)</f>
        <v/>
      </c>
      <c r="F6" s="9">
        <f>0+D6-E6</f>
        <v/>
      </c>
      <c r="G6">
        <f>IF(ROUND(F6,2)&gt;0,"Borç",IF(ROUND(F6,2)&lt;0,"Alacak","—"))</f>
        <v/>
      </c>
    </row>
    <row r="7">
      <c r="A7" s="8">
        <f>Yevmiye!B14</f>
        <v/>
      </c>
      <c r="B7">
        <f>Yevmiye!A14</f>
        <v/>
      </c>
      <c r="C7">
        <f>Yevmiye!D14</f>
        <v/>
      </c>
      <c r="D7" s="9">
        <f>N(Yevmiye!G14)</f>
        <v/>
      </c>
      <c r="E7" s="9">
        <f>N(Yevmiye!H14)</f>
        <v/>
      </c>
      <c r="F7" s="9">
        <f>F6+D7-E7</f>
        <v/>
      </c>
      <c r="G7">
        <f>IF(ROUND(F7,2)&gt;0,"Borç",IF(ROUND(F7,2)&lt;0,"Alacak","—"))</f>
        <v/>
      </c>
    </row>
    <row r="8">
      <c r="C8" s="15" t="inlineStr">
        <is>
          <t>Toplam</t>
        </is>
      </c>
      <c r="D8" s="16">
        <f>SUM(D6:D7)</f>
        <v/>
      </c>
      <c r="E8" s="16">
        <f>SUM(E6:E7)</f>
        <v/>
      </c>
      <c r="F8" s="16">
        <f>D8-E8</f>
        <v/>
      </c>
    </row>
    <row r="10">
      <c r="A10" s="18" t="inlineStr">
        <is>
          <t>102 · Bankalar</t>
        </is>
      </c>
    </row>
    <row r="11">
      <c r="A11" s="4" t="inlineStr">
        <is>
          <t>Tarih</t>
        </is>
      </c>
      <c r="B11" s="4" t="inlineStr">
        <is>
          <t>Madde</t>
        </is>
      </c>
      <c r="C11" s="4" t="inlineStr">
        <is>
          <t>Açıklama</t>
        </is>
      </c>
      <c r="D11" s="4" t="inlineStr">
        <is>
          <t>Borç</t>
        </is>
      </c>
      <c r="E11" s="4" t="inlineStr">
        <is>
          <t>Alacak</t>
        </is>
      </c>
      <c r="F11" s="4" t="inlineStr">
        <is>
          <t>Bakiye</t>
        </is>
      </c>
      <c r="G11" s="4" t="inlineStr">
        <is>
          <t>Yön</t>
        </is>
      </c>
    </row>
    <row r="12">
      <c r="A12" s="8">
        <f>Yevmiye!B5</f>
        <v/>
      </c>
      <c r="B12">
        <f>Yevmiye!A5</f>
        <v/>
      </c>
      <c r="C12">
        <f>Yevmiye!D5</f>
        <v/>
      </c>
      <c r="D12" s="9">
        <f>N(Yevmiye!G5)</f>
        <v/>
      </c>
      <c r="E12" s="9">
        <f>N(Yevmiye!H5)</f>
        <v/>
      </c>
      <c r="F12" s="9">
        <f>0+D12-E12</f>
        <v/>
      </c>
      <c r="G12">
        <f>IF(ROUND(F12,2)&gt;0,"Borç",IF(ROUND(F12,2)&lt;0,"Alacak","—"))</f>
        <v/>
      </c>
    </row>
    <row r="13">
      <c r="A13" s="8">
        <f>Yevmiye!B8</f>
        <v/>
      </c>
      <c r="B13">
        <f>Yevmiye!A8</f>
        <v/>
      </c>
      <c r="C13">
        <f>Yevmiye!D8</f>
        <v/>
      </c>
      <c r="D13" s="9">
        <f>N(Yevmiye!G8)</f>
        <v/>
      </c>
      <c r="E13" s="9">
        <f>N(Yevmiye!H8)</f>
        <v/>
      </c>
      <c r="F13" s="9">
        <f>F12+D13-E13</f>
        <v/>
      </c>
      <c r="G13">
        <f>IF(ROUND(F13,2)&gt;0,"Borç",IF(ROUND(F13,2)&lt;0,"Alacak","—"))</f>
        <v/>
      </c>
    </row>
    <row r="14">
      <c r="A14" s="8">
        <f>Yevmiye!B11</f>
        <v/>
      </c>
      <c r="B14">
        <f>Yevmiye!A11</f>
        <v/>
      </c>
      <c r="C14">
        <f>Yevmiye!D11</f>
        <v/>
      </c>
      <c r="D14" s="9">
        <f>N(Yevmiye!G11)</f>
        <v/>
      </c>
      <c r="E14" s="9">
        <f>N(Yevmiye!H11)</f>
        <v/>
      </c>
      <c r="F14" s="9">
        <f>F13+D14-E14</f>
        <v/>
      </c>
      <c r="G14">
        <f>IF(ROUND(F14,2)&gt;0,"Borç",IF(ROUND(F14,2)&lt;0,"Alacak","—"))</f>
        <v/>
      </c>
    </row>
    <row r="15">
      <c r="A15" s="8">
        <f>Yevmiye!B18</f>
        <v/>
      </c>
      <c r="B15">
        <f>Yevmiye!A18</f>
        <v/>
      </c>
      <c r="C15">
        <f>Yevmiye!D18</f>
        <v/>
      </c>
      <c r="D15" s="9">
        <f>N(Yevmiye!G18)</f>
        <v/>
      </c>
      <c r="E15" s="9">
        <f>N(Yevmiye!H18)</f>
        <v/>
      </c>
      <c r="F15" s="9">
        <f>F14+D15-E15</f>
        <v/>
      </c>
      <c r="G15">
        <f>IF(ROUND(F15,2)&gt;0,"Borç",IF(ROUND(F15,2)&lt;0,"Alacak","—"))</f>
        <v/>
      </c>
    </row>
    <row r="16">
      <c r="A16" s="8">
        <f>Yevmiye!B26</f>
        <v/>
      </c>
      <c r="B16">
        <f>Yevmiye!A26</f>
        <v/>
      </c>
      <c r="C16">
        <f>Yevmiye!D26</f>
        <v/>
      </c>
      <c r="D16" s="9">
        <f>N(Yevmiye!G26)</f>
        <v/>
      </c>
      <c r="E16" s="9">
        <f>N(Yevmiye!H26)</f>
        <v/>
      </c>
      <c r="F16" s="9">
        <f>F15+D16-E16</f>
        <v/>
      </c>
      <c r="G16">
        <f>IF(ROUND(F16,2)&gt;0,"Borç",IF(ROUND(F16,2)&lt;0,"Alacak","—"))</f>
        <v/>
      </c>
    </row>
    <row r="17">
      <c r="A17" s="8">
        <f>Yevmiye!B29</f>
        <v/>
      </c>
      <c r="B17">
        <f>Yevmiye!A29</f>
        <v/>
      </c>
      <c r="C17">
        <f>Yevmiye!D29</f>
        <v/>
      </c>
      <c r="D17" s="9">
        <f>N(Yevmiye!G29)</f>
        <v/>
      </c>
      <c r="E17" s="9">
        <f>N(Yevmiye!H29)</f>
        <v/>
      </c>
      <c r="F17" s="9">
        <f>F16+D17-E17</f>
        <v/>
      </c>
      <c r="G17">
        <f>IF(ROUND(F17,2)&gt;0,"Borç",IF(ROUND(F17,2)&lt;0,"Alacak","—"))</f>
        <v/>
      </c>
    </row>
    <row r="18">
      <c r="A18" s="8">
        <f>Yevmiye!B30</f>
        <v/>
      </c>
      <c r="B18">
        <f>Yevmiye!A30</f>
        <v/>
      </c>
      <c r="C18">
        <f>Yevmiye!D30</f>
        <v/>
      </c>
      <c r="D18" s="9">
        <f>N(Yevmiye!G30)</f>
        <v/>
      </c>
      <c r="E18" s="9">
        <f>N(Yevmiye!H30)</f>
        <v/>
      </c>
      <c r="F18" s="9">
        <f>F17+D18-E18</f>
        <v/>
      </c>
      <c r="G18">
        <f>IF(ROUND(F18,2)&gt;0,"Borç",IF(ROUND(F18,2)&lt;0,"Alacak","—"))</f>
        <v/>
      </c>
    </row>
    <row r="19">
      <c r="A19" s="8">
        <f>Yevmiye!B33</f>
        <v/>
      </c>
      <c r="B19">
        <f>Yevmiye!A33</f>
        <v/>
      </c>
      <c r="C19">
        <f>Yevmiye!D33</f>
        <v/>
      </c>
      <c r="D19" s="9">
        <f>N(Yevmiye!G33)</f>
        <v/>
      </c>
      <c r="E19" s="9">
        <f>N(Yevmiye!H33)</f>
        <v/>
      </c>
      <c r="F19" s="9">
        <f>F18+D19-E19</f>
        <v/>
      </c>
      <c r="G19">
        <f>IF(ROUND(F19,2)&gt;0,"Borç",IF(ROUND(F19,2)&lt;0,"Alacak","—"))</f>
        <v/>
      </c>
    </row>
    <row r="20">
      <c r="C20" s="15" t="inlineStr">
        <is>
          <t>Toplam</t>
        </is>
      </c>
      <c r="D20" s="16">
        <f>SUM(D12:D19)</f>
        <v/>
      </c>
      <c r="E20" s="16">
        <f>SUM(E12:E19)</f>
        <v/>
      </c>
      <c r="F20" s="16">
        <f>D20-E20</f>
        <v/>
      </c>
    </row>
    <row r="22">
      <c r="A22" s="18" t="inlineStr">
        <is>
          <t>120 · Alıcılar</t>
        </is>
      </c>
    </row>
    <row r="23">
      <c r="A23" s="4" t="inlineStr">
        <is>
          <t>Tarih</t>
        </is>
      </c>
      <c r="B23" s="4" t="inlineStr">
        <is>
          <t>Madde</t>
        </is>
      </c>
      <c r="C23" s="4" t="inlineStr">
        <is>
          <t>Açıklama</t>
        </is>
      </c>
      <c r="D23" s="4" t="inlineStr">
        <is>
          <t>Borç</t>
        </is>
      </c>
      <c r="E23" s="4" t="inlineStr">
        <is>
          <t>Alacak</t>
        </is>
      </c>
      <c r="F23" s="4" t="inlineStr">
        <is>
          <t>Bakiye</t>
        </is>
      </c>
      <c r="G23" s="4" t="inlineStr">
        <is>
          <t>Yön</t>
        </is>
      </c>
    </row>
    <row r="24">
      <c r="A24" s="8">
        <f>Yevmiye!B21</f>
        <v/>
      </c>
      <c r="B24">
        <f>Yevmiye!A21</f>
        <v/>
      </c>
      <c r="C24">
        <f>Yevmiye!D21</f>
        <v/>
      </c>
      <c r="D24" s="9">
        <f>N(Yevmiye!G21)</f>
        <v/>
      </c>
      <c r="E24" s="9">
        <f>N(Yevmiye!H21)</f>
        <v/>
      </c>
      <c r="F24" s="9">
        <f>0+D24-E24</f>
        <v/>
      </c>
      <c r="G24">
        <f>IF(ROUND(F24,2)&gt;0,"Borç",IF(ROUND(F24,2)&lt;0,"Alacak","—"))</f>
        <v/>
      </c>
    </row>
    <row r="25">
      <c r="A25" s="8">
        <f>Yevmiye!B31</f>
        <v/>
      </c>
      <c r="B25">
        <f>Yevmiye!A31</f>
        <v/>
      </c>
      <c r="C25">
        <f>Yevmiye!D31</f>
        <v/>
      </c>
      <c r="D25" s="9">
        <f>N(Yevmiye!G31)</f>
        <v/>
      </c>
      <c r="E25" s="9">
        <f>N(Yevmiye!H31)</f>
        <v/>
      </c>
      <c r="F25" s="9">
        <f>F24+D25-E25</f>
        <v/>
      </c>
      <c r="G25">
        <f>IF(ROUND(F25,2)&gt;0,"Borç",IF(ROUND(F25,2)&lt;0,"Alacak","—"))</f>
        <v/>
      </c>
    </row>
    <row r="26">
      <c r="C26" s="15" t="inlineStr">
        <is>
          <t>Toplam</t>
        </is>
      </c>
      <c r="D26" s="16">
        <f>SUM(D24:D25)</f>
        <v/>
      </c>
      <c r="E26" s="16">
        <f>SUM(E24:E25)</f>
        <v/>
      </c>
      <c r="F26" s="16">
        <f>D26-E26</f>
        <v/>
      </c>
    </row>
    <row r="28">
      <c r="A28" s="18" t="inlineStr">
        <is>
          <t>153 · Ticari Mallar</t>
        </is>
      </c>
    </row>
    <row r="29">
      <c r="A29" s="4" t="inlineStr">
        <is>
          <t>Tarih</t>
        </is>
      </c>
      <c r="B29" s="4" t="inlineStr">
        <is>
          <t>Madde</t>
        </is>
      </c>
      <c r="C29" s="4" t="inlineStr">
        <is>
          <t>Açıklama</t>
        </is>
      </c>
      <c r="D29" s="4" t="inlineStr">
        <is>
          <t>Borç</t>
        </is>
      </c>
      <c r="E29" s="4" t="inlineStr">
        <is>
          <t>Alacak</t>
        </is>
      </c>
      <c r="F29" s="4" t="inlineStr">
        <is>
          <t>Bakiye</t>
        </is>
      </c>
      <c r="G29" s="4" t="inlineStr">
        <is>
          <t>Yön</t>
        </is>
      </c>
    </row>
    <row r="30">
      <c r="A30" s="8">
        <f>Yevmiye!B15</f>
        <v/>
      </c>
      <c r="B30">
        <f>Yevmiye!A15</f>
        <v/>
      </c>
      <c r="C30">
        <f>Yevmiye!D15</f>
        <v/>
      </c>
      <c r="D30" s="9">
        <f>N(Yevmiye!G15)</f>
        <v/>
      </c>
      <c r="E30" s="9">
        <f>N(Yevmiye!H15)</f>
        <v/>
      </c>
      <c r="F30" s="9">
        <f>0+D30-E30</f>
        <v/>
      </c>
      <c r="G30">
        <f>IF(ROUND(F30,2)&gt;0,"Borç",IF(ROUND(F30,2)&lt;0,"Alacak","—"))</f>
        <v/>
      </c>
    </row>
    <row r="31">
      <c r="A31" s="8">
        <f>Yevmiye!B37</f>
        <v/>
      </c>
      <c r="B31">
        <f>Yevmiye!A37</f>
        <v/>
      </c>
      <c r="C31">
        <f>Yevmiye!D37</f>
        <v/>
      </c>
      <c r="D31" s="9">
        <f>N(Yevmiye!G37)</f>
        <v/>
      </c>
      <c r="E31" s="9">
        <f>N(Yevmiye!H37)</f>
        <v/>
      </c>
      <c r="F31" s="9">
        <f>F30+D31-E31</f>
        <v/>
      </c>
      <c r="G31">
        <f>IF(ROUND(F31,2)&gt;0,"Borç",IF(ROUND(F31,2)&lt;0,"Alacak","—"))</f>
        <v/>
      </c>
    </row>
    <row r="32">
      <c r="C32" s="15" t="inlineStr">
        <is>
          <t>Toplam</t>
        </is>
      </c>
      <c r="D32" s="16">
        <f>SUM(D30:D31)</f>
        <v/>
      </c>
      <c r="E32" s="16">
        <f>SUM(E30:E31)</f>
        <v/>
      </c>
      <c r="F32" s="16">
        <f>D32-E32</f>
        <v/>
      </c>
    </row>
    <row r="34">
      <c r="A34" s="18" t="inlineStr">
        <is>
          <t>191 · İndirilecek KDV</t>
        </is>
      </c>
    </row>
    <row r="35">
      <c r="A35" s="4" t="inlineStr">
        <is>
          <t>Tarih</t>
        </is>
      </c>
      <c r="B35" s="4" t="inlineStr">
        <is>
          <t>Madde</t>
        </is>
      </c>
      <c r="C35" s="4" t="inlineStr">
        <is>
          <t>Açıklama</t>
        </is>
      </c>
      <c r="D35" s="4" t="inlineStr">
        <is>
          <t>Borç</t>
        </is>
      </c>
      <c r="E35" s="4" t="inlineStr">
        <is>
          <t>Alacak</t>
        </is>
      </c>
      <c r="F35" s="4" t="inlineStr">
        <is>
          <t>Bakiye</t>
        </is>
      </c>
      <c r="G35" s="4" t="inlineStr">
        <is>
          <t>Yön</t>
        </is>
      </c>
    </row>
    <row r="36">
      <c r="A36" s="8">
        <f>Yevmiye!B10</f>
        <v/>
      </c>
      <c r="B36">
        <f>Yevmiye!A10</f>
        <v/>
      </c>
      <c r="C36">
        <f>Yevmiye!D10</f>
        <v/>
      </c>
      <c r="D36" s="9">
        <f>N(Yevmiye!G10)</f>
        <v/>
      </c>
      <c r="E36" s="9">
        <f>N(Yevmiye!H10)</f>
        <v/>
      </c>
      <c r="F36" s="9">
        <f>0+D36-E36</f>
        <v/>
      </c>
      <c r="G36">
        <f>IF(ROUND(F36,2)&gt;0,"Borç",IF(ROUND(F36,2)&lt;0,"Alacak","—"))</f>
        <v/>
      </c>
    </row>
    <row r="37">
      <c r="A37" s="8">
        <f>Yevmiye!B13</f>
        <v/>
      </c>
      <c r="B37">
        <f>Yevmiye!A13</f>
        <v/>
      </c>
      <c r="C37">
        <f>Yevmiye!D13</f>
        <v/>
      </c>
      <c r="D37" s="9">
        <f>N(Yevmiye!G13)</f>
        <v/>
      </c>
      <c r="E37" s="9">
        <f>N(Yevmiye!H13)</f>
        <v/>
      </c>
      <c r="F37" s="9">
        <f>F36+D37-E37</f>
        <v/>
      </c>
      <c r="G37">
        <f>IF(ROUND(F37,2)&gt;0,"Borç",IF(ROUND(F37,2)&lt;0,"Alacak","—"))</f>
        <v/>
      </c>
    </row>
    <row r="38">
      <c r="A38" s="8">
        <f>Yevmiye!B16</f>
        <v/>
      </c>
      <c r="B38">
        <f>Yevmiye!A16</f>
        <v/>
      </c>
      <c r="C38">
        <f>Yevmiye!D16</f>
        <v/>
      </c>
      <c r="D38" s="9">
        <f>N(Yevmiye!G16)</f>
        <v/>
      </c>
      <c r="E38" s="9">
        <f>N(Yevmiye!H16)</f>
        <v/>
      </c>
      <c r="F38" s="9">
        <f>F37+D38-E38</f>
        <v/>
      </c>
      <c r="G38">
        <f>IF(ROUND(F38,2)&gt;0,"Borç",IF(ROUND(F38,2)&lt;0,"Alacak","—"))</f>
        <v/>
      </c>
    </row>
    <row r="39">
      <c r="A39" s="8">
        <f>Yevmiye!B25</f>
        <v/>
      </c>
      <c r="B39">
        <f>Yevmiye!A25</f>
        <v/>
      </c>
      <c r="C39">
        <f>Yevmiye!D25</f>
        <v/>
      </c>
      <c r="D39" s="9">
        <f>N(Yevmiye!G25)</f>
        <v/>
      </c>
      <c r="E39" s="9">
        <f>N(Yevmiye!H25)</f>
        <v/>
      </c>
      <c r="F39" s="9">
        <f>F38+D39-E39</f>
        <v/>
      </c>
      <c r="G39">
        <f>IF(ROUND(F39,2)&gt;0,"Borç",IF(ROUND(F39,2)&lt;0,"Alacak","—"))</f>
        <v/>
      </c>
    </row>
    <row r="40">
      <c r="A40" s="8">
        <f>Yevmiye!B28</f>
        <v/>
      </c>
      <c r="B40">
        <f>Yevmiye!A28</f>
        <v/>
      </c>
      <c r="C40">
        <f>Yevmiye!D28</f>
        <v/>
      </c>
      <c r="D40" s="9">
        <f>N(Yevmiye!G28)</f>
        <v/>
      </c>
      <c r="E40" s="9">
        <f>N(Yevmiye!H28)</f>
        <v/>
      </c>
      <c r="F40" s="9">
        <f>F39+D40-E40</f>
        <v/>
      </c>
      <c r="G40">
        <f>IF(ROUND(F40,2)&gt;0,"Borç",IF(ROUND(F40,2)&lt;0,"Alacak","—"))</f>
        <v/>
      </c>
    </row>
    <row r="41">
      <c r="A41" s="8">
        <f>Yevmiye!B41</f>
        <v/>
      </c>
      <c r="B41">
        <f>Yevmiye!A41</f>
        <v/>
      </c>
      <c r="C41">
        <f>Yevmiye!D41</f>
        <v/>
      </c>
      <c r="D41" s="9">
        <f>N(Yevmiye!G41)</f>
        <v/>
      </c>
      <c r="E41" s="9">
        <f>N(Yevmiye!H41)</f>
        <v/>
      </c>
      <c r="F41" s="9">
        <f>F40+D41-E41</f>
        <v/>
      </c>
      <c r="G41">
        <f>IF(ROUND(F41,2)&gt;0,"Borç",IF(ROUND(F41,2)&lt;0,"Alacak","—"))</f>
        <v/>
      </c>
    </row>
    <row r="42">
      <c r="C42" s="15" t="inlineStr">
        <is>
          <t>Toplam</t>
        </is>
      </c>
      <c r="D42" s="16">
        <f>SUM(D36:D41)</f>
        <v/>
      </c>
      <c r="E42" s="16">
        <f>SUM(E36:E41)</f>
        <v/>
      </c>
      <c r="F42" s="16">
        <f>D42-E42</f>
        <v/>
      </c>
    </row>
    <row r="44">
      <c r="A44" s="18" t="inlineStr">
        <is>
          <t>255 · Demirbaşlar</t>
        </is>
      </c>
    </row>
    <row r="45">
      <c r="A45" s="4" t="inlineStr">
        <is>
          <t>Tarih</t>
        </is>
      </c>
      <c r="B45" s="4" t="inlineStr">
        <is>
          <t>Madde</t>
        </is>
      </c>
      <c r="C45" s="4" t="inlineStr">
        <is>
          <t>Açıklama</t>
        </is>
      </c>
      <c r="D45" s="4" t="inlineStr">
        <is>
          <t>Borç</t>
        </is>
      </c>
      <c r="E45" s="4" t="inlineStr">
        <is>
          <t>Alacak</t>
        </is>
      </c>
      <c r="F45" s="4" t="inlineStr">
        <is>
          <t>Bakiye</t>
        </is>
      </c>
      <c r="G45" s="4" t="inlineStr">
        <is>
          <t>Yön</t>
        </is>
      </c>
    </row>
    <row r="46">
      <c r="A46" s="8">
        <f>Yevmiye!B9</f>
        <v/>
      </c>
      <c r="B46">
        <f>Yevmiye!A9</f>
        <v/>
      </c>
      <c r="C46">
        <f>Yevmiye!D9</f>
        <v/>
      </c>
      <c r="D46" s="9">
        <f>N(Yevmiye!G9)</f>
        <v/>
      </c>
      <c r="E46" s="9">
        <f>N(Yevmiye!H9)</f>
        <v/>
      </c>
      <c r="F46" s="9">
        <f>0+D46-E46</f>
        <v/>
      </c>
      <c r="G46">
        <f>IF(ROUND(F46,2)&gt;0,"Borç",IF(ROUND(F46,2)&lt;0,"Alacak","—"))</f>
        <v/>
      </c>
    </row>
    <row r="47">
      <c r="C47" s="15" t="inlineStr">
        <is>
          <t>Toplam</t>
        </is>
      </c>
      <c r="D47" s="16">
        <f>SUM(D46:D46)</f>
        <v/>
      </c>
      <c r="E47" s="16">
        <f>SUM(E46:E46)</f>
        <v/>
      </c>
      <c r="F47" s="16">
        <f>D47-E47</f>
        <v/>
      </c>
    </row>
    <row r="49">
      <c r="A49" s="18" t="inlineStr">
        <is>
          <t>257 · Birikmiş Amortismanlar (-)</t>
        </is>
      </c>
    </row>
    <row r="50">
      <c r="A50" s="4" t="inlineStr">
        <is>
          <t>Tarih</t>
        </is>
      </c>
      <c r="B50" s="4" t="inlineStr">
        <is>
          <t>Madde</t>
        </is>
      </c>
      <c r="C50" s="4" t="inlineStr">
        <is>
          <t>Açıklama</t>
        </is>
      </c>
      <c r="D50" s="4" t="inlineStr">
        <is>
          <t>Borç</t>
        </is>
      </c>
      <c r="E50" s="4" t="inlineStr">
        <is>
          <t>Alacak</t>
        </is>
      </c>
      <c r="F50" s="4" t="inlineStr">
        <is>
          <t>Bakiye</t>
        </is>
      </c>
      <c r="G50" s="4" t="inlineStr">
        <is>
          <t>Yön</t>
        </is>
      </c>
    </row>
    <row r="51">
      <c r="A51" s="8">
        <f>Yevmiye!B35</f>
        <v/>
      </c>
      <c r="B51">
        <f>Yevmiye!A35</f>
        <v/>
      </c>
      <c r="C51">
        <f>Yevmiye!D35</f>
        <v/>
      </c>
      <c r="D51" s="9">
        <f>N(Yevmiye!G35)</f>
        <v/>
      </c>
      <c r="E51" s="9">
        <f>N(Yevmiye!H35)</f>
        <v/>
      </c>
      <c r="F51" s="9">
        <f>0+D51-E51</f>
        <v/>
      </c>
      <c r="G51">
        <f>IF(ROUND(F51,2)&gt;0,"Borç",IF(ROUND(F51,2)&lt;0,"Alacak","—"))</f>
        <v/>
      </c>
    </row>
    <row r="52">
      <c r="C52" s="15" t="inlineStr">
        <is>
          <t>Toplam</t>
        </is>
      </c>
      <c r="D52" s="16">
        <f>SUM(D51:D51)</f>
        <v/>
      </c>
      <c r="E52" s="16">
        <f>SUM(E51:E51)</f>
        <v/>
      </c>
      <c r="F52" s="16">
        <f>D52-E52</f>
        <v/>
      </c>
    </row>
    <row r="54">
      <c r="A54" s="18" t="inlineStr">
        <is>
          <t>320 · Satıcılar</t>
        </is>
      </c>
    </row>
    <row r="55">
      <c r="A55" s="4" t="inlineStr">
        <is>
          <t>Tarih</t>
        </is>
      </c>
      <c r="B55" s="4" t="inlineStr">
        <is>
          <t>Madde</t>
        </is>
      </c>
      <c r="C55" s="4" t="inlineStr">
        <is>
          <t>Açıklama</t>
        </is>
      </c>
      <c r="D55" s="4" t="inlineStr">
        <is>
          <t>Borç</t>
        </is>
      </c>
      <c r="E55" s="4" t="inlineStr">
        <is>
          <t>Alacak</t>
        </is>
      </c>
      <c r="F55" s="4" t="inlineStr">
        <is>
          <t>Bakiye</t>
        </is>
      </c>
      <c r="G55" s="4" t="inlineStr">
        <is>
          <t>Yön</t>
        </is>
      </c>
    </row>
    <row r="56">
      <c r="A56" s="8">
        <f>Yevmiye!B17</f>
        <v/>
      </c>
      <c r="B56">
        <f>Yevmiye!A17</f>
        <v/>
      </c>
      <c r="C56">
        <f>Yevmiye!D17</f>
        <v/>
      </c>
      <c r="D56" s="9">
        <f>N(Yevmiye!G17)</f>
        <v/>
      </c>
      <c r="E56" s="9">
        <f>N(Yevmiye!H17)</f>
        <v/>
      </c>
      <c r="F56" s="9">
        <f>0+D56-E56</f>
        <v/>
      </c>
      <c r="G56">
        <f>IF(ROUND(F56,2)&gt;0,"Borç",IF(ROUND(F56,2)&lt;0,"Alacak","—"))</f>
        <v/>
      </c>
    </row>
    <row r="57">
      <c r="A57" s="8">
        <f>Yevmiye!B32</f>
        <v/>
      </c>
      <c r="B57">
        <f>Yevmiye!A32</f>
        <v/>
      </c>
      <c r="C57">
        <f>Yevmiye!D32</f>
        <v/>
      </c>
      <c r="D57" s="9">
        <f>N(Yevmiye!G32)</f>
        <v/>
      </c>
      <c r="E57" s="9">
        <f>N(Yevmiye!H32)</f>
        <v/>
      </c>
      <c r="F57" s="9">
        <f>F56+D57-E57</f>
        <v/>
      </c>
      <c r="G57">
        <f>IF(ROUND(F57,2)&gt;0,"Borç",IF(ROUND(F57,2)&lt;0,"Alacak","—"))</f>
        <v/>
      </c>
    </row>
    <row r="58">
      <c r="C58" s="15" t="inlineStr">
        <is>
          <t>Toplam</t>
        </is>
      </c>
      <c r="D58" s="16">
        <f>SUM(D56:D57)</f>
        <v/>
      </c>
      <c r="E58" s="16">
        <f>SUM(E56:E57)</f>
        <v/>
      </c>
      <c r="F58" s="16">
        <f>D58-E58</f>
        <v/>
      </c>
    </row>
    <row r="60">
      <c r="A60" s="18" t="inlineStr">
        <is>
          <t>391 · Hesaplanan KDV</t>
        </is>
      </c>
    </row>
    <row r="61">
      <c r="A61" s="4" t="inlineStr">
        <is>
          <t>Tarih</t>
        </is>
      </c>
      <c r="B61" s="4" t="inlineStr">
        <is>
          <t>Madde</t>
        </is>
      </c>
      <c r="C61" s="4" t="inlineStr">
        <is>
          <t>Açıklama</t>
        </is>
      </c>
      <c r="D61" s="4" t="inlineStr">
        <is>
          <t>Borç</t>
        </is>
      </c>
      <c r="E61" s="4" t="inlineStr">
        <is>
          <t>Alacak</t>
        </is>
      </c>
      <c r="F61" s="4" t="inlineStr">
        <is>
          <t>Bakiye</t>
        </is>
      </c>
      <c r="G61" s="4" t="inlineStr">
        <is>
          <t>Yön</t>
        </is>
      </c>
    </row>
    <row r="62">
      <c r="A62" s="8">
        <f>Yevmiye!B20</f>
        <v/>
      </c>
      <c r="B62">
        <f>Yevmiye!A20</f>
        <v/>
      </c>
      <c r="C62">
        <f>Yevmiye!D20</f>
        <v/>
      </c>
      <c r="D62" s="9">
        <f>N(Yevmiye!G20)</f>
        <v/>
      </c>
      <c r="E62" s="9">
        <f>N(Yevmiye!H20)</f>
        <v/>
      </c>
      <c r="F62" s="9">
        <f>0+D62-E62</f>
        <v/>
      </c>
      <c r="G62">
        <f>IF(ROUND(F62,2)&gt;0,"Borç",IF(ROUND(F62,2)&lt;0,"Alacak","—"))</f>
        <v/>
      </c>
    </row>
    <row r="63">
      <c r="A63" s="8">
        <f>Yevmiye!B23</f>
        <v/>
      </c>
      <c r="B63">
        <f>Yevmiye!A23</f>
        <v/>
      </c>
      <c r="C63">
        <f>Yevmiye!D23</f>
        <v/>
      </c>
      <c r="D63" s="9">
        <f>N(Yevmiye!G23)</f>
        <v/>
      </c>
      <c r="E63" s="9">
        <f>N(Yevmiye!H23)</f>
        <v/>
      </c>
      <c r="F63" s="9">
        <f>F62+D63-E63</f>
        <v/>
      </c>
      <c r="G63">
        <f>IF(ROUND(F63,2)&gt;0,"Borç",IF(ROUND(F63,2)&lt;0,"Alacak","—"))</f>
        <v/>
      </c>
    </row>
    <row r="64">
      <c r="A64" s="8">
        <f>Yevmiye!B40</f>
        <v/>
      </c>
      <c r="B64">
        <f>Yevmiye!A40</f>
        <v/>
      </c>
      <c r="C64">
        <f>Yevmiye!D40</f>
        <v/>
      </c>
      <c r="D64" s="9">
        <f>N(Yevmiye!G40)</f>
        <v/>
      </c>
      <c r="E64" s="9">
        <f>N(Yevmiye!H40)</f>
        <v/>
      </c>
      <c r="F64" s="9">
        <f>F63+D64-E64</f>
        <v/>
      </c>
      <c r="G64">
        <f>IF(ROUND(F64,2)&gt;0,"Borç",IF(ROUND(F64,2)&lt;0,"Alacak","—"))</f>
        <v/>
      </c>
    </row>
    <row r="65">
      <c r="C65" s="15" t="inlineStr">
        <is>
          <t>Toplam</t>
        </is>
      </c>
      <c r="D65" s="16">
        <f>SUM(D62:D64)</f>
        <v/>
      </c>
      <c r="E65" s="16">
        <f>SUM(E62:E64)</f>
        <v/>
      </c>
      <c r="F65" s="16">
        <f>D65-E65</f>
        <v/>
      </c>
    </row>
    <row r="67">
      <c r="A67" s="18" t="inlineStr">
        <is>
          <t>500 · Sermaye</t>
        </is>
      </c>
    </row>
    <row r="68">
      <c r="A68" s="4" t="inlineStr">
        <is>
          <t>Tarih</t>
        </is>
      </c>
      <c r="B68" s="4" t="inlineStr">
        <is>
          <t>Madde</t>
        </is>
      </c>
      <c r="C68" s="4" t="inlineStr">
        <is>
          <t>Açıklama</t>
        </is>
      </c>
      <c r="D68" s="4" t="inlineStr">
        <is>
          <t>Borç</t>
        </is>
      </c>
      <c r="E68" s="4" t="inlineStr">
        <is>
          <t>Alacak</t>
        </is>
      </c>
      <c r="F68" s="4" t="inlineStr">
        <is>
          <t>Bakiye</t>
        </is>
      </c>
      <c r="G68" s="4" t="inlineStr">
        <is>
          <t>Yön</t>
        </is>
      </c>
    </row>
    <row r="69">
      <c r="A69" s="8">
        <f>Yevmiye!B6</f>
        <v/>
      </c>
      <c r="B69">
        <f>Yevmiye!A6</f>
        <v/>
      </c>
      <c r="C69">
        <f>Yevmiye!D6</f>
        <v/>
      </c>
      <c r="D69" s="9">
        <f>N(Yevmiye!G6)</f>
        <v/>
      </c>
      <c r="E69" s="9">
        <f>N(Yevmiye!H6)</f>
        <v/>
      </c>
      <c r="F69" s="9">
        <f>0+D69-E69</f>
        <v/>
      </c>
      <c r="G69">
        <f>IF(ROUND(F69,2)&gt;0,"Borç",IF(ROUND(F69,2)&lt;0,"Alacak","—"))</f>
        <v/>
      </c>
    </row>
    <row r="70">
      <c r="C70" s="15" t="inlineStr">
        <is>
          <t>Toplam</t>
        </is>
      </c>
      <c r="D70" s="16">
        <f>SUM(D69:D69)</f>
        <v/>
      </c>
      <c r="E70" s="16">
        <f>SUM(E69:E69)</f>
        <v/>
      </c>
      <c r="F70" s="16">
        <f>D70-E70</f>
        <v/>
      </c>
    </row>
    <row r="72">
      <c r="A72" s="18" t="inlineStr">
        <is>
          <t>600 · Yurt İçi Satışlar</t>
        </is>
      </c>
    </row>
    <row r="73">
      <c r="A73" s="4" t="inlineStr">
        <is>
          <t>Tarih</t>
        </is>
      </c>
      <c r="B73" s="4" t="inlineStr">
        <is>
          <t>Madde</t>
        </is>
      </c>
      <c r="C73" s="4" t="inlineStr">
        <is>
          <t>Açıklama</t>
        </is>
      </c>
      <c r="D73" s="4" t="inlineStr">
        <is>
          <t>Borç</t>
        </is>
      </c>
      <c r="E73" s="4" t="inlineStr">
        <is>
          <t>Alacak</t>
        </is>
      </c>
      <c r="F73" s="4" t="inlineStr">
        <is>
          <t>Bakiye</t>
        </is>
      </c>
      <c r="G73" s="4" t="inlineStr">
        <is>
          <t>Yön</t>
        </is>
      </c>
    </row>
    <row r="74">
      <c r="A74" s="8">
        <f>Yevmiye!B19</f>
        <v/>
      </c>
      <c r="B74">
        <f>Yevmiye!A19</f>
        <v/>
      </c>
      <c r="C74">
        <f>Yevmiye!D19</f>
        <v/>
      </c>
      <c r="D74" s="9">
        <f>N(Yevmiye!G19)</f>
        <v/>
      </c>
      <c r="E74" s="9">
        <f>N(Yevmiye!H19)</f>
        <v/>
      </c>
      <c r="F74" s="9">
        <f>0+D74-E74</f>
        <v/>
      </c>
      <c r="G74">
        <f>IF(ROUND(F74,2)&gt;0,"Borç",IF(ROUND(F74,2)&lt;0,"Alacak","—"))</f>
        <v/>
      </c>
    </row>
    <row r="75">
      <c r="A75" s="8">
        <f>Yevmiye!B22</f>
        <v/>
      </c>
      <c r="B75">
        <f>Yevmiye!A22</f>
        <v/>
      </c>
      <c r="C75">
        <f>Yevmiye!D22</f>
        <v/>
      </c>
      <c r="D75" s="9">
        <f>N(Yevmiye!G22)</f>
        <v/>
      </c>
      <c r="E75" s="9">
        <f>N(Yevmiye!H22)</f>
        <v/>
      </c>
      <c r="F75" s="9">
        <f>F74+D75-E75</f>
        <v/>
      </c>
      <c r="G75">
        <f>IF(ROUND(F75,2)&gt;0,"Borç",IF(ROUND(F75,2)&lt;0,"Alacak","—"))</f>
        <v/>
      </c>
    </row>
    <row r="76">
      <c r="C76" s="15" t="inlineStr">
        <is>
          <t>Toplam</t>
        </is>
      </c>
      <c r="D76" s="16">
        <f>SUM(D74:D75)</f>
        <v/>
      </c>
      <c r="E76" s="16">
        <f>SUM(E74:E75)</f>
        <v/>
      </c>
      <c r="F76" s="16">
        <f>D76-E76</f>
        <v/>
      </c>
    </row>
    <row r="78">
      <c r="A78" s="18" t="inlineStr">
        <is>
          <t>621 · Satılan Ticari Mallar Maliyeti (-)</t>
        </is>
      </c>
    </row>
    <row r="79">
      <c r="A79" s="4" t="inlineStr">
        <is>
          <t>Tarih</t>
        </is>
      </c>
      <c r="B79" s="4" t="inlineStr">
        <is>
          <t>Madde</t>
        </is>
      </c>
      <c r="C79" s="4" t="inlineStr">
        <is>
          <t>Açıklama</t>
        </is>
      </c>
      <c r="D79" s="4" t="inlineStr">
        <is>
          <t>Borç</t>
        </is>
      </c>
      <c r="E79" s="4" t="inlineStr">
        <is>
          <t>Alacak</t>
        </is>
      </c>
      <c r="F79" s="4" t="inlineStr">
        <is>
          <t>Bakiye</t>
        </is>
      </c>
      <c r="G79" s="4" t="inlineStr">
        <is>
          <t>Yön</t>
        </is>
      </c>
    </row>
    <row r="80">
      <c r="A80" s="8">
        <f>Yevmiye!B36</f>
        <v/>
      </c>
      <c r="B80">
        <f>Yevmiye!A36</f>
        <v/>
      </c>
      <c r="C80">
        <f>Yevmiye!D36</f>
        <v/>
      </c>
      <c r="D80" s="9">
        <f>N(Yevmiye!G36)</f>
        <v/>
      </c>
      <c r="E80" s="9">
        <f>N(Yevmiye!H36)</f>
        <v/>
      </c>
      <c r="F80" s="9">
        <f>0+D80-E80</f>
        <v/>
      </c>
      <c r="G80">
        <f>IF(ROUND(F80,2)&gt;0,"Borç",IF(ROUND(F80,2)&lt;0,"Alacak","—"))</f>
        <v/>
      </c>
    </row>
    <row r="81">
      <c r="C81" s="15" t="inlineStr">
        <is>
          <t>Toplam</t>
        </is>
      </c>
      <c r="D81" s="16">
        <f>SUM(D80:D80)</f>
        <v/>
      </c>
      <c r="E81" s="16">
        <f>SUM(E80:E80)</f>
        <v/>
      </c>
      <c r="F81" s="16">
        <f>D81-E81</f>
        <v/>
      </c>
    </row>
    <row r="83">
      <c r="A83" s="18" t="inlineStr">
        <is>
          <t>632 · Genel Yönetim Giderleri (-)</t>
        </is>
      </c>
    </row>
    <row r="84">
      <c r="A84" s="4" t="inlineStr">
        <is>
          <t>Tarih</t>
        </is>
      </c>
      <c r="B84" s="4" t="inlineStr">
        <is>
          <t>Madde</t>
        </is>
      </c>
      <c r="C84" s="4" t="inlineStr">
        <is>
          <t>Açıklama</t>
        </is>
      </c>
      <c r="D84" s="4" t="inlineStr">
        <is>
          <t>Borç</t>
        </is>
      </c>
      <c r="E84" s="4" t="inlineStr">
        <is>
          <t>Alacak</t>
        </is>
      </c>
      <c r="F84" s="4" t="inlineStr">
        <is>
          <t>Bakiye</t>
        </is>
      </c>
      <c r="G84" s="4" t="inlineStr">
        <is>
          <t>Yön</t>
        </is>
      </c>
    </row>
    <row r="85">
      <c r="A85" s="8">
        <f>Yevmiye!B38</f>
        <v/>
      </c>
      <c r="B85">
        <f>Yevmiye!A38</f>
        <v/>
      </c>
      <c r="C85">
        <f>Yevmiye!D38</f>
        <v/>
      </c>
      <c r="D85" s="9">
        <f>N(Yevmiye!G38)</f>
        <v/>
      </c>
      <c r="E85" s="9">
        <f>N(Yevmiye!H38)</f>
        <v/>
      </c>
      <c r="F85" s="9">
        <f>0+D85-E85</f>
        <v/>
      </c>
      <c r="G85">
        <f>IF(ROUND(F85,2)&gt;0,"Borç",IF(ROUND(F85,2)&lt;0,"Alacak","—"))</f>
        <v/>
      </c>
    </row>
    <row r="86">
      <c r="C86" s="15" t="inlineStr">
        <is>
          <t>Toplam</t>
        </is>
      </c>
      <c r="D86" s="16">
        <f>SUM(D85:D85)</f>
        <v/>
      </c>
      <c r="E86" s="16">
        <f>SUM(E85:E85)</f>
        <v/>
      </c>
      <c r="F86" s="16">
        <f>D86-E86</f>
        <v/>
      </c>
    </row>
    <row r="88">
      <c r="A88" s="18" t="inlineStr">
        <is>
          <t>793 · Dışarıdan Sağlanan Fayda ve Hizmetler</t>
        </is>
      </c>
    </row>
    <row r="89">
      <c r="A89" s="4" t="inlineStr">
        <is>
          <t>Tarih</t>
        </is>
      </c>
      <c r="B89" s="4" t="inlineStr">
        <is>
          <t>Madde</t>
        </is>
      </c>
      <c r="C89" s="4" t="inlineStr">
        <is>
          <t>Açıklama</t>
        </is>
      </c>
      <c r="D89" s="4" t="inlineStr">
        <is>
          <t>Borç</t>
        </is>
      </c>
      <c r="E89" s="4" t="inlineStr">
        <is>
          <t>Alacak</t>
        </is>
      </c>
      <c r="F89" s="4" t="inlineStr">
        <is>
          <t>Bakiye</t>
        </is>
      </c>
      <c r="G89" s="4" t="inlineStr">
        <is>
          <t>Yön</t>
        </is>
      </c>
    </row>
    <row r="90">
      <c r="A90" s="8">
        <f>Yevmiye!B24</f>
        <v/>
      </c>
      <c r="B90">
        <f>Yevmiye!A24</f>
        <v/>
      </c>
      <c r="C90">
        <f>Yevmiye!D24</f>
        <v/>
      </c>
      <c r="D90" s="9">
        <f>N(Yevmiye!G24)</f>
        <v/>
      </c>
      <c r="E90" s="9">
        <f>N(Yevmiye!H24)</f>
        <v/>
      </c>
      <c r="F90" s="9">
        <f>0+D90-E90</f>
        <v/>
      </c>
      <c r="G90">
        <f>IF(ROUND(F90,2)&gt;0,"Borç",IF(ROUND(F90,2)&lt;0,"Alacak","—"))</f>
        <v/>
      </c>
    </row>
    <row r="91">
      <c r="A91" s="8">
        <f>Yevmiye!B27</f>
        <v/>
      </c>
      <c r="B91">
        <f>Yevmiye!A27</f>
        <v/>
      </c>
      <c r="C91">
        <f>Yevmiye!D27</f>
        <v/>
      </c>
      <c r="D91" s="9">
        <f>N(Yevmiye!G27)</f>
        <v/>
      </c>
      <c r="E91" s="9">
        <f>N(Yevmiye!H27)</f>
        <v/>
      </c>
      <c r="F91" s="9">
        <f>F90+D91-E91</f>
        <v/>
      </c>
      <c r="G91">
        <f>IF(ROUND(F91,2)&gt;0,"Borç",IF(ROUND(F91,2)&lt;0,"Alacak","—"))</f>
        <v/>
      </c>
    </row>
    <row r="92">
      <c r="C92" s="15" t="inlineStr">
        <is>
          <t>Toplam</t>
        </is>
      </c>
      <c r="D92" s="16">
        <f>SUM(D90:D91)</f>
        <v/>
      </c>
      <c r="E92" s="16">
        <f>SUM(E90:E91)</f>
        <v/>
      </c>
      <c r="F92" s="16">
        <f>D92-E92</f>
        <v/>
      </c>
    </row>
    <row r="94">
      <c r="A94" s="18" t="inlineStr">
        <is>
          <t>794 · Çeşitli Giderler</t>
        </is>
      </c>
    </row>
    <row r="95">
      <c r="A95" s="4" t="inlineStr">
        <is>
          <t>Tarih</t>
        </is>
      </c>
      <c r="B95" s="4" t="inlineStr">
        <is>
          <t>Madde</t>
        </is>
      </c>
      <c r="C95" s="4" t="inlineStr">
        <is>
          <t>Açıklama</t>
        </is>
      </c>
      <c r="D95" s="4" t="inlineStr">
        <is>
          <t>Borç</t>
        </is>
      </c>
      <c r="E95" s="4" t="inlineStr">
        <is>
          <t>Alacak</t>
        </is>
      </c>
      <c r="F95" s="4" t="inlineStr">
        <is>
          <t>Bakiye</t>
        </is>
      </c>
      <c r="G95" s="4" t="inlineStr">
        <is>
          <t>Yön</t>
        </is>
      </c>
    </row>
    <row r="96">
      <c r="A96" s="8">
        <f>Yevmiye!B12</f>
        <v/>
      </c>
      <c r="B96">
        <f>Yevmiye!A12</f>
        <v/>
      </c>
      <c r="C96">
        <f>Yevmiye!D12</f>
        <v/>
      </c>
      <c r="D96" s="9">
        <f>N(Yevmiye!G12)</f>
        <v/>
      </c>
      <c r="E96" s="9">
        <f>N(Yevmiye!H12)</f>
        <v/>
      </c>
      <c r="F96" s="9">
        <f>0+D96-E96</f>
        <v/>
      </c>
      <c r="G96">
        <f>IF(ROUND(F96,2)&gt;0,"Borç",IF(ROUND(F96,2)&lt;0,"Alacak","—"))</f>
        <v/>
      </c>
    </row>
    <row r="97">
      <c r="C97" s="15" t="inlineStr">
        <is>
          <t>Toplam</t>
        </is>
      </c>
      <c r="D97" s="16">
        <f>SUM(D96:D96)</f>
        <v/>
      </c>
      <c r="E97" s="16">
        <f>SUM(E96:E96)</f>
        <v/>
      </c>
      <c r="F97" s="16">
        <f>D97-E97</f>
        <v/>
      </c>
    </row>
    <row r="99">
      <c r="A99" s="18" t="inlineStr">
        <is>
          <t>796 · Amortismanlar ve Tükenme Payları</t>
        </is>
      </c>
    </row>
    <row r="100">
      <c r="A100" s="4" t="inlineStr">
        <is>
          <t>Tarih</t>
        </is>
      </c>
      <c r="B100" s="4" t="inlineStr">
        <is>
          <t>Madde</t>
        </is>
      </c>
      <c r="C100" s="4" t="inlineStr">
        <is>
          <t>Açıklama</t>
        </is>
      </c>
      <c r="D100" s="4" t="inlineStr">
        <is>
          <t>Borç</t>
        </is>
      </c>
      <c r="E100" s="4" t="inlineStr">
        <is>
          <t>Alacak</t>
        </is>
      </c>
      <c r="F100" s="4" t="inlineStr">
        <is>
          <t>Bakiye</t>
        </is>
      </c>
      <c r="G100" s="4" t="inlineStr">
        <is>
          <t>Yön</t>
        </is>
      </c>
    </row>
    <row r="101">
      <c r="A101" s="8">
        <f>Yevmiye!B34</f>
        <v/>
      </c>
      <c r="B101">
        <f>Yevmiye!A34</f>
        <v/>
      </c>
      <c r="C101">
        <f>Yevmiye!D34</f>
        <v/>
      </c>
      <c r="D101" s="9">
        <f>N(Yevmiye!G34)</f>
        <v/>
      </c>
      <c r="E101" s="9">
        <f>N(Yevmiye!H34)</f>
        <v/>
      </c>
      <c r="F101" s="9">
        <f>0+D101-E101</f>
        <v/>
      </c>
      <c r="G101">
        <f>IF(ROUND(F101,2)&gt;0,"Borç",IF(ROUND(F101,2)&lt;0,"Alacak","—"))</f>
        <v/>
      </c>
    </row>
    <row r="102">
      <c r="C102" s="15" t="inlineStr">
        <is>
          <t>Toplam</t>
        </is>
      </c>
      <c r="D102" s="16">
        <f>SUM(D101:D101)</f>
        <v/>
      </c>
      <c r="E102" s="16">
        <f>SUM(E101:E101)</f>
        <v/>
      </c>
      <c r="F102" s="16">
        <f>D102-E102</f>
        <v/>
      </c>
    </row>
    <row r="104">
      <c r="A104" s="18" t="inlineStr">
        <is>
          <t>798 · Gider Çeşitleri Yansıtma Hesabı</t>
        </is>
      </c>
    </row>
    <row r="105">
      <c r="A105" s="4" t="inlineStr">
        <is>
          <t>Tarih</t>
        </is>
      </c>
      <c r="B105" s="4" t="inlineStr">
        <is>
          <t>Madde</t>
        </is>
      </c>
      <c r="C105" s="4" t="inlineStr">
        <is>
          <t>Açıklama</t>
        </is>
      </c>
      <c r="D105" s="4" t="inlineStr">
        <is>
          <t>Borç</t>
        </is>
      </c>
      <c r="E105" s="4" t="inlineStr">
        <is>
          <t>Alacak</t>
        </is>
      </c>
      <c r="F105" s="4" t="inlineStr">
        <is>
          <t>Bakiye</t>
        </is>
      </c>
      <c r="G105" s="4" t="inlineStr">
        <is>
          <t>Yön</t>
        </is>
      </c>
    </row>
    <row r="106">
      <c r="A106" s="8">
        <f>Yevmiye!B39</f>
        <v/>
      </c>
      <c r="B106">
        <f>Yevmiye!A39</f>
        <v/>
      </c>
      <c r="C106">
        <f>Yevmiye!D39</f>
        <v/>
      </c>
      <c r="D106" s="9">
        <f>N(Yevmiye!G39)</f>
        <v/>
      </c>
      <c r="E106" s="9">
        <f>N(Yevmiye!H39)</f>
        <v/>
      </c>
      <c r="F106" s="9">
        <f>0+D106-E106</f>
        <v/>
      </c>
      <c r="G106">
        <f>IF(ROUND(F106,2)&gt;0,"Borç",IF(ROUND(F106,2)&lt;0,"Alacak","—"))</f>
        <v/>
      </c>
    </row>
    <row r="107">
      <c r="C107" s="15" t="inlineStr">
        <is>
          <t>Toplam</t>
        </is>
      </c>
      <c r="D107" s="16">
        <f>SUM(D106:D106)</f>
        <v/>
      </c>
      <c r="E107" s="16">
        <f>SUM(E106:E106)</f>
        <v/>
      </c>
      <c r="F107" s="16">
        <f>D107-E107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Mizan — 31.01.2026</t>
        </is>
      </c>
    </row>
    <row r="2">
      <c r="A2" s="2" t="inlineStr">
        <is>
          <t>Toplamlar Yevmiye sayfasından SUMIF ile gelir. Borç toplamı = alacak toplamı ve borç kalanı = alacak kalanı olmalıdır.</t>
        </is>
      </c>
    </row>
    <row r="4">
      <c r="A4" s="4" t="inlineStr">
        <is>
          <t>Kod</t>
        </is>
      </c>
      <c r="B4" s="4" t="inlineStr">
        <is>
          <t>Hesap adı</t>
        </is>
      </c>
      <c r="C4" s="4" t="inlineStr">
        <is>
          <t>Borç toplamı</t>
        </is>
      </c>
      <c r="D4" s="4" t="inlineStr">
        <is>
          <t>Alacak toplamı</t>
        </is>
      </c>
      <c r="E4" s="4" t="inlineStr">
        <is>
          <t>Borç kalanı</t>
        </is>
      </c>
      <c r="F4" s="4" t="inlineStr">
        <is>
          <t>Alacak kalanı</t>
        </is>
      </c>
    </row>
    <row r="5">
      <c r="A5" t="n">
        <v>100</v>
      </c>
      <c r="B5" t="inlineStr">
        <is>
          <t>Kasa</t>
        </is>
      </c>
      <c r="C5" s="9">
        <f>SUMIF(Yevmiye!$E$5:$E$200,A5,Yevmiye!$G$5:$G$200)</f>
        <v/>
      </c>
      <c r="D5" s="9">
        <f>SUMIF(Yevmiye!$E$5:$E$200,A5,Yevmiye!$H$5:$H$200)</f>
        <v/>
      </c>
      <c r="E5" s="9">
        <f>MAX(C5-D5,0)</f>
        <v/>
      </c>
      <c r="F5" s="9">
        <f>MAX(D5-C5,0)</f>
        <v/>
      </c>
    </row>
    <row r="6">
      <c r="A6" t="n">
        <v>102</v>
      </c>
      <c r="B6" t="inlineStr">
        <is>
          <t>Bankalar</t>
        </is>
      </c>
      <c r="C6" s="9">
        <f>SUMIF(Yevmiye!$E$5:$E$200,A6,Yevmiye!$G$5:$G$200)</f>
        <v/>
      </c>
      <c r="D6" s="9">
        <f>SUMIF(Yevmiye!$E$5:$E$200,A6,Yevmiye!$H$5:$H$200)</f>
        <v/>
      </c>
      <c r="E6" s="9">
        <f>MAX(C6-D6,0)</f>
        <v/>
      </c>
      <c r="F6" s="9">
        <f>MAX(D6-C6,0)</f>
        <v/>
      </c>
    </row>
    <row r="7">
      <c r="A7" t="n">
        <v>120</v>
      </c>
      <c r="B7" t="inlineStr">
        <is>
          <t>Alıcılar</t>
        </is>
      </c>
      <c r="C7" s="9">
        <f>SUMIF(Yevmiye!$E$5:$E$200,A7,Yevmiye!$G$5:$G$200)</f>
        <v/>
      </c>
      <c r="D7" s="9">
        <f>SUMIF(Yevmiye!$E$5:$E$200,A7,Yevmiye!$H$5:$H$200)</f>
        <v/>
      </c>
      <c r="E7" s="9">
        <f>MAX(C7-D7,0)</f>
        <v/>
      </c>
      <c r="F7" s="9">
        <f>MAX(D7-C7,0)</f>
        <v/>
      </c>
    </row>
    <row r="8">
      <c r="A8" t="n">
        <v>153</v>
      </c>
      <c r="B8" t="inlineStr">
        <is>
          <t>Ticari Mallar</t>
        </is>
      </c>
      <c r="C8" s="9">
        <f>SUMIF(Yevmiye!$E$5:$E$200,A8,Yevmiye!$G$5:$G$200)</f>
        <v/>
      </c>
      <c r="D8" s="9">
        <f>SUMIF(Yevmiye!$E$5:$E$200,A8,Yevmiye!$H$5:$H$200)</f>
        <v/>
      </c>
      <c r="E8" s="9">
        <f>MAX(C8-D8,0)</f>
        <v/>
      </c>
      <c r="F8" s="9">
        <f>MAX(D8-C8,0)</f>
        <v/>
      </c>
    </row>
    <row r="9">
      <c r="A9" t="n">
        <v>191</v>
      </c>
      <c r="B9" t="inlineStr">
        <is>
          <t>İndirilecek KDV</t>
        </is>
      </c>
      <c r="C9" s="9">
        <f>SUMIF(Yevmiye!$E$5:$E$200,A9,Yevmiye!$G$5:$G$200)</f>
        <v/>
      </c>
      <c r="D9" s="9">
        <f>SUMIF(Yevmiye!$E$5:$E$200,A9,Yevmiye!$H$5:$H$200)</f>
        <v/>
      </c>
      <c r="E9" s="9">
        <f>MAX(C9-D9,0)</f>
        <v/>
      </c>
      <c r="F9" s="9">
        <f>MAX(D9-C9,0)</f>
        <v/>
      </c>
    </row>
    <row r="10">
      <c r="A10" t="n">
        <v>255</v>
      </c>
      <c r="B10" t="inlineStr">
        <is>
          <t>Demirbaşlar</t>
        </is>
      </c>
      <c r="C10" s="9">
        <f>SUMIF(Yevmiye!$E$5:$E$200,A10,Yevmiye!$G$5:$G$200)</f>
        <v/>
      </c>
      <c r="D10" s="9">
        <f>SUMIF(Yevmiye!$E$5:$E$200,A10,Yevmiye!$H$5:$H$200)</f>
        <v/>
      </c>
      <c r="E10" s="9">
        <f>MAX(C10-D10,0)</f>
        <v/>
      </c>
      <c r="F10" s="9">
        <f>MAX(D10-C10,0)</f>
        <v/>
      </c>
    </row>
    <row r="11">
      <c r="A11" t="n">
        <v>257</v>
      </c>
      <c r="B11" t="inlineStr">
        <is>
          <t>Birikmiş Amortismanlar (-)</t>
        </is>
      </c>
      <c r="C11" s="9">
        <f>SUMIF(Yevmiye!$E$5:$E$200,A11,Yevmiye!$G$5:$G$200)</f>
        <v/>
      </c>
      <c r="D11" s="9">
        <f>SUMIF(Yevmiye!$E$5:$E$200,A11,Yevmiye!$H$5:$H$200)</f>
        <v/>
      </c>
      <c r="E11" s="9">
        <f>MAX(C11-D11,0)</f>
        <v/>
      </c>
      <c r="F11" s="9">
        <f>MAX(D11-C11,0)</f>
        <v/>
      </c>
    </row>
    <row r="12">
      <c r="A12" t="n">
        <v>320</v>
      </c>
      <c r="B12" t="inlineStr">
        <is>
          <t>Satıcılar</t>
        </is>
      </c>
      <c r="C12" s="9">
        <f>SUMIF(Yevmiye!$E$5:$E$200,A12,Yevmiye!$G$5:$G$200)</f>
        <v/>
      </c>
      <c r="D12" s="9">
        <f>SUMIF(Yevmiye!$E$5:$E$200,A12,Yevmiye!$H$5:$H$200)</f>
        <v/>
      </c>
      <c r="E12" s="9">
        <f>MAX(C12-D12,0)</f>
        <v/>
      </c>
      <c r="F12" s="9">
        <f>MAX(D12-C12,0)</f>
        <v/>
      </c>
    </row>
    <row r="13">
      <c r="A13" t="n">
        <v>360</v>
      </c>
      <c r="B13" t="inlineStr">
        <is>
          <t>Ödenecek Vergi ve Fonlar</t>
        </is>
      </c>
      <c r="C13" s="9">
        <f>SUMIF(Yevmiye!$E$5:$E$200,A13,Yevmiye!$G$5:$G$200)</f>
        <v/>
      </c>
      <c r="D13" s="9">
        <f>SUMIF(Yevmiye!$E$5:$E$200,A13,Yevmiye!$H$5:$H$200)</f>
        <v/>
      </c>
      <c r="E13" s="9">
        <f>MAX(C13-D13,0)</f>
        <v/>
      </c>
      <c r="F13" s="9">
        <f>MAX(D13-C13,0)</f>
        <v/>
      </c>
    </row>
    <row r="14">
      <c r="A14" t="n">
        <v>391</v>
      </c>
      <c r="B14" t="inlineStr">
        <is>
          <t>Hesaplanan KDV</t>
        </is>
      </c>
      <c r="C14" s="9">
        <f>SUMIF(Yevmiye!$E$5:$E$200,A14,Yevmiye!$G$5:$G$200)</f>
        <v/>
      </c>
      <c r="D14" s="9">
        <f>SUMIF(Yevmiye!$E$5:$E$200,A14,Yevmiye!$H$5:$H$200)</f>
        <v/>
      </c>
      <c r="E14" s="9">
        <f>MAX(C14-D14,0)</f>
        <v/>
      </c>
      <c r="F14" s="9">
        <f>MAX(D14-C14,0)</f>
        <v/>
      </c>
    </row>
    <row r="15">
      <c r="A15" t="n">
        <v>500</v>
      </c>
      <c r="B15" t="inlineStr">
        <is>
          <t>Sermaye</t>
        </is>
      </c>
      <c r="C15" s="9">
        <f>SUMIF(Yevmiye!$E$5:$E$200,A15,Yevmiye!$G$5:$G$200)</f>
        <v/>
      </c>
      <c r="D15" s="9">
        <f>SUMIF(Yevmiye!$E$5:$E$200,A15,Yevmiye!$H$5:$H$200)</f>
        <v/>
      </c>
      <c r="E15" s="9">
        <f>MAX(C15-D15,0)</f>
        <v/>
      </c>
      <c r="F15" s="9">
        <f>MAX(D15-C15,0)</f>
        <v/>
      </c>
    </row>
    <row r="16">
      <c r="A16" t="n">
        <v>600</v>
      </c>
      <c r="B16" t="inlineStr">
        <is>
          <t>Yurt İçi Satışlar</t>
        </is>
      </c>
      <c r="C16" s="9">
        <f>SUMIF(Yevmiye!$E$5:$E$200,A16,Yevmiye!$G$5:$G$200)</f>
        <v/>
      </c>
      <c r="D16" s="9">
        <f>SUMIF(Yevmiye!$E$5:$E$200,A16,Yevmiye!$H$5:$H$200)</f>
        <v/>
      </c>
      <c r="E16" s="9">
        <f>MAX(C16-D16,0)</f>
        <v/>
      </c>
      <c r="F16" s="9">
        <f>MAX(D16-C16,0)</f>
        <v/>
      </c>
    </row>
    <row r="17">
      <c r="A17" t="n">
        <v>621</v>
      </c>
      <c r="B17" t="inlineStr">
        <is>
          <t>Satılan Ticari Mallar Maliyeti (-)</t>
        </is>
      </c>
      <c r="C17" s="9">
        <f>SUMIF(Yevmiye!$E$5:$E$200,A17,Yevmiye!$G$5:$G$200)</f>
        <v/>
      </c>
      <c r="D17" s="9">
        <f>SUMIF(Yevmiye!$E$5:$E$200,A17,Yevmiye!$H$5:$H$200)</f>
        <v/>
      </c>
      <c r="E17" s="9">
        <f>MAX(C17-D17,0)</f>
        <v/>
      </c>
      <c r="F17" s="9">
        <f>MAX(D17-C17,0)</f>
        <v/>
      </c>
    </row>
    <row r="18">
      <c r="A18" t="n">
        <v>632</v>
      </c>
      <c r="B18" t="inlineStr">
        <is>
          <t>Genel Yönetim Giderleri (-)</t>
        </is>
      </c>
      <c r="C18" s="9">
        <f>SUMIF(Yevmiye!$E$5:$E$200,A18,Yevmiye!$G$5:$G$200)</f>
        <v/>
      </c>
      <c r="D18" s="9">
        <f>SUMIF(Yevmiye!$E$5:$E$200,A18,Yevmiye!$H$5:$H$200)</f>
        <v/>
      </c>
      <c r="E18" s="9">
        <f>MAX(C18-D18,0)</f>
        <v/>
      </c>
      <c r="F18" s="9">
        <f>MAX(D18-C18,0)</f>
        <v/>
      </c>
    </row>
    <row r="19">
      <c r="A19" t="n">
        <v>793</v>
      </c>
      <c r="B19" t="inlineStr">
        <is>
          <t>Dışarıdan Sağlanan Fayda ve Hizmetler</t>
        </is>
      </c>
      <c r="C19" s="9">
        <f>SUMIF(Yevmiye!$E$5:$E$200,A19,Yevmiye!$G$5:$G$200)</f>
        <v/>
      </c>
      <c r="D19" s="9">
        <f>SUMIF(Yevmiye!$E$5:$E$200,A19,Yevmiye!$H$5:$H$200)</f>
        <v/>
      </c>
      <c r="E19" s="9">
        <f>MAX(C19-D19,0)</f>
        <v/>
      </c>
      <c r="F19" s="9">
        <f>MAX(D19-C19,0)</f>
        <v/>
      </c>
    </row>
    <row r="20">
      <c r="A20" t="n">
        <v>794</v>
      </c>
      <c r="B20" t="inlineStr">
        <is>
          <t>Çeşitli Giderler</t>
        </is>
      </c>
      <c r="C20" s="9">
        <f>SUMIF(Yevmiye!$E$5:$E$200,A20,Yevmiye!$G$5:$G$200)</f>
        <v/>
      </c>
      <c r="D20" s="9">
        <f>SUMIF(Yevmiye!$E$5:$E$200,A20,Yevmiye!$H$5:$H$200)</f>
        <v/>
      </c>
      <c r="E20" s="9">
        <f>MAX(C20-D20,0)</f>
        <v/>
      </c>
      <c r="F20" s="9">
        <f>MAX(D20-C20,0)</f>
        <v/>
      </c>
    </row>
    <row r="21">
      <c r="A21" t="n">
        <v>796</v>
      </c>
      <c r="B21" t="inlineStr">
        <is>
          <t>Amortismanlar ve Tükenme Payları</t>
        </is>
      </c>
      <c r="C21" s="9">
        <f>SUMIF(Yevmiye!$E$5:$E$200,A21,Yevmiye!$G$5:$G$200)</f>
        <v/>
      </c>
      <c r="D21" s="9">
        <f>SUMIF(Yevmiye!$E$5:$E$200,A21,Yevmiye!$H$5:$H$200)</f>
        <v/>
      </c>
      <c r="E21" s="9">
        <f>MAX(C21-D21,0)</f>
        <v/>
      </c>
      <c r="F21" s="9">
        <f>MAX(D21-C21,0)</f>
        <v/>
      </c>
    </row>
    <row r="22">
      <c r="A22" t="n">
        <v>798</v>
      </c>
      <c r="B22" t="inlineStr">
        <is>
          <t>Gider Çeşitleri Yansıtma Hesabı</t>
        </is>
      </c>
      <c r="C22" s="9">
        <f>SUMIF(Yevmiye!$E$5:$E$200,A22,Yevmiye!$G$5:$G$200)</f>
        <v/>
      </c>
      <c r="D22" s="9">
        <f>SUMIF(Yevmiye!$E$5:$E$200,A22,Yevmiye!$H$5:$H$200)</f>
        <v/>
      </c>
      <c r="E22" s="9">
        <f>MAX(C22-D22,0)</f>
        <v/>
      </c>
      <c r="F22" s="9">
        <f>MAX(D22-C22,0)</f>
        <v/>
      </c>
    </row>
    <row r="23">
      <c r="B23" s="15" t="inlineStr">
        <is>
          <t>TOPLAM</t>
        </is>
      </c>
      <c r="C23" s="16">
        <f>SUM(C5:C22)</f>
        <v/>
      </c>
      <c r="D23" s="16">
        <f>SUM(D5:D22)</f>
        <v/>
      </c>
      <c r="E23" s="16">
        <f>SUM(E5:E22)</f>
        <v/>
      </c>
      <c r="F23" s="16">
        <f>SUM(F5:F22)</f>
        <v/>
      </c>
    </row>
    <row r="25">
      <c r="A25" s="3" t="inlineStr">
        <is>
          <t>Kontroller</t>
        </is>
      </c>
    </row>
    <row r="26">
      <c r="A26" t="inlineStr">
        <is>
          <t>Hareket toplamları (borç = alacak)</t>
        </is>
      </c>
      <c r="E26" s="17">
        <f>IF(ROUND(C23-D23,2)=0,"DENK","DENK DEĞİL")</f>
        <v/>
      </c>
    </row>
    <row r="27">
      <c r="A27" t="inlineStr">
        <is>
          <t>Kalan toplamları (borç kalanı = alacak kalanı)</t>
        </is>
      </c>
      <c r="E27" s="17">
        <f>IF(ROUND(E23-F23,2)=0,"DENK","DENK DEĞİL")</f>
        <v/>
      </c>
    </row>
    <row r="28">
      <c r="A28" t="inlineStr">
        <is>
          <t>Mizan borç toplamı = Yevmiye borç toplamı</t>
        </is>
      </c>
      <c r="E28" s="17">
        <f>IF(ROUND(C23-Yevmiye!G201,2)=0,"EŞİT","EŞİT DEĞİL — hesap planında olmayan kod var mı?")</f>
        <v/>
      </c>
    </row>
    <row r="29">
      <c r="A29" t="inlineStr">
        <is>
          <t>7/B gider çeşitleri aktarıldı mı (79x − 798 = 0)</t>
        </is>
      </c>
      <c r="E29" s="17">
        <f>IF(ROUND(SUMIF(A5:A22,"&gt;=790",E5:E22)-SUMIF(A5:A22,"&gt;=790",F5:F22),2)=0,"AKTARILDI","AKTARILMADI")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Banka Ekstresi — Örnek Bank (KURGUSAL) · Ocak 2026</t>
        </is>
      </c>
    </row>
    <row r="2">
      <c r="A2" s="2" t="inlineStr">
        <is>
          <t>Bankanın gönderdiği belge (dış belge): tutarlar elle yazılıdır, defterden formülle gelmez. Mutabakat: ekstre bakiyesi = defterdeki 102 bakiyesi mi?</t>
        </is>
      </c>
    </row>
    <row r="4">
      <c r="A4" s="4" t="inlineStr">
        <is>
          <t>Tarih</t>
        </is>
      </c>
      <c r="B4" s="4" t="inlineStr">
        <is>
          <t>Açıklama (bankanın yazdığı)</t>
        </is>
      </c>
      <c r="C4" s="4" t="inlineStr">
        <is>
          <t>Giren</t>
        </is>
      </c>
      <c r="D4" s="4" t="inlineStr">
        <is>
          <t>Çıkan</t>
        </is>
      </c>
      <c r="E4" s="4" t="inlineStr">
        <is>
          <t>Bakiye</t>
        </is>
      </c>
    </row>
    <row r="5">
      <c r="A5" s="8" t="n">
        <v>46024</v>
      </c>
      <c r="B5" t="inlineStr">
        <is>
          <t>Ortakların sermaye ödemesi bankaya yatırıldı</t>
        </is>
      </c>
      <c r="C5" s="9" t="n">
        <v>300000</v>
      </c>
      <c r="E5" s="9">
        <f>0+N(C5)-N(D5)</f>
        <v/>
      </c>
    </row>
    <row r="6">
      <c r="A6" s="8" t="n">
        <v>46025</v>
      </c>
      <c r="B6" t="inlineStr">
        <is>
          <t>Bankadan kasaya para çekildi</t>
        </is>
      </c>
      <c r="D6" s="9" t="n">
        <v>20000</v>
      </c>
      <c r="E6" s="9">
        <f>E5+N(C6)-N(D6)</f>
        <v/>
      </c>
    </row>
    <row r="7">
      <c r="A7" s="8" t="n">
        <v>46028</v>
      </c>
      <c r="B7" t="inlineStr">
        <is>
          <t>Tezgâh ve raf sistemi alındı (demirbaş)</t>
        </is>
      </c>
      <c r="D7" s="9" t="n">
        <v>108000</v>
      </c>
      <c r="E7" s="9">
        <f>E6+N(C7)-N(D7)</f>
        <v/>
      </c>
    </row>
    <row r="8">
      <c r="A8" s="8" t="n">
        <v>46037</v>
      </c>
      <c r="B8" t="inlineStr">
        <is>
          <t>Bireysel müşterilere satışlar (kartla tahsil)</t>
        </is>
      </c>
      <c r="C8" s="9" t="n">
        <v>72000</v>
      </c>
      <c r="E8" s="9">
        <f>E7+N(C8)-N(D8)</f>
        <v/>
      </c>
    </row>
    <row r="9">
      <c r="A9" s="8" t="n">
        <v>46047</v>
      </c>
      <c r="B9" t="inlineStr">
        <is>
          <t>Ocak dükkân kirası (kiraya veren şirket)</t>
        </is>
      </c>
      <c r="D9" s="9" t="n">
        <v>30000</v>
      </c>
      <c r="E9" s="9">
        <f>E8+N(C9)-N(D9)</f>
        <v/>
      </c>
    </row>
    <row r="10">
      <c r="A10" s="8" t="n">
        <v>46050</v>
      </c>
      <c r="B10" t="inlineStr">
        <is>
          <t>Elektrik ve internet faturası</t>
        </is>
      </c>
      <c r="D10" s="9" t="n">
        <v>4800</v>
      </c>
      <c r="E10" s="9">
        <f>E9+N(C10)-N(D10)</f>
        <v/>
      </c>
    </row>
    <row r="11">
      <c r="A11" s="8" t="n">
        <v>46052</v>
      </c>
      <c r="B11" t="inlineStr">
        <is>
          <t>Örnek Kafe Ltd.'den tahsilat</t>
        </is>
      </c>
      <c r="C11" s="9" t="n">
        <v>48000</v>
      </c>
      <c r="E11" s="9">
        <f>E10+N(C11)-N(D11)</f>
        <v/>
      </c>
    </row>
    <row r="12">
      <c r="A12" s="8" t="n">
        <v>46052</v>
      </c>
      <c r="B12" t="inlineStr">
        <is>
          <t>Satıcıya kısmi ödeme</t>
        </is>
      </c>
      <c r="D12" s="9" t="n">
        <v>100000</v>
      </c>
      <c r="E12" s="9">
        <f>E11+N(C12)-N(D12)</f>
        <v/>
      </c>
    </row>
    <row r="13">
      <c r="A13" s="8" t="n">
        <v>46053</v>
      </c>
      <c r="B13" t="inlineStr">
        <is>
          <t>Hesap işletim ücreti</t>
        </is>
      </c>
      <c r="D13" s="9" t="n">
        <v>50</v>
      </c>
      <c r="E13" s="9">
        <f>E12+N(C13)-N(D13)</f>
        <v/>
      </c>
    </row>
    <row r="15">
      <c r="A15" s="3" t="inlineStr">
        <is>
          <t>Mutabakat</t>
        </is>
      </c>
    </row>
    <row r="16">
      <c r="B16" t="inlineStr">
        <is>
          <t>Ekstre bakiyesi (31.01.2026)</t>
        </is>
      </c>
      <c r="E16" s="9">
        <f>E13</f>
        <v/>
      </c>
    </row>
    <row r="17">
      <c r="B17" t="inlineStr">
        <is>
          <t>Defterdeki 102 Bankalar bakiyesi (Mizan)</t>
        </is>
      </c>
      <c r="E17" s="9">
        <f>SUMIF(Mizan!$A$5:$A$40,102,Mizan!$E$5:$E$40)</f>
        <v/>
      </c>
    </row>
    <row r="18">
      <c r="B18" s="3" t="inlineStr">
        <is>
          <t>Fark (ekstre − defter)</t>
        </is>
      </c>
      <c r="E18" s="19">
        <f>E16-E17</f>
        <v/>
      </c>
    </row>
    <row r="19">
      <c r="B19" s="2" t="inlineStr">
        <is>
          <t>Farkın nedeni: bankanın kestiği ücret deftere henüz işlenmedi (Ders 2.3 görevi). Hangi hesaba yazılacağını mali müşavirinle netleştir.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8" customWidth="1" min="3" max="3"/>
    <col width="15" customWidth="1" min="4" max="4"/>
    <col width="7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KDV — Ocak 2026</t>
        </is>
      </c>
    </row>
    <row r="2">
      <c r="A2" s="2" t="inlineStr">
        <is>
          <t>Oran Bilgi!B15'ten okunur (genel oran, kaynaklı). Hesaplanan KDV satışta 391'e, indirilecek KDV alışta 191'e yazılır.</t>
        </is>
      </c>
    </row>
    <row r="4">
      <c r="A4" s="4" t="inlineStr">
        <is>
          <t>Madde</t>
        </is>
      </c>
      <c r="B4" s="4" t="inlineStr">
        <is>
          <t>Belge</t>
        </is>
      </c>
      <c r="C4" s="4" t="inlineStr">
        <is>
          <t>Tür</t>
        </is>
      </c>
      <c r="D4" s="4" t="inlineStr">
        <is>
          <t>Matrah</t>
        </is>
      </c>
      <c r="E4" s="4" t="inlineStr">
        <is>
          <t>Oran</t>
        </is>
      </c>
      <c r="F4" s="4" t="inlineStr">
        <is>
          <t>KDV (hesap)</t>
        </is>
      </c>
      <c r="G4" s="4" t="inlineStr">
        <is>
          <t>Deftere yazılan</t>
        </is>
      </c>
      <c r="H4" s="4" t="inlineStr">
        <is>
          <t>Kontrol</t>
        </is>
      </c>
    </row>
    <row r="5">
      <c r="A5" t="n">
        <v>3</v>
      </c>
      <c r="B5" t="inlineStr">
        <is>
          <t>Alış e-Faturası ÖRN-A-001</t>
        </is>
      </c>
      <c r="C5" t="inlineStr">
        <is>
          <t>Alış</t>
        </is>
      </c>
      <c r="D5" s="9" t="n">
        <v>90000</v>
      </c>
      <c r="E5" s="5">
        <f>Bilgi!$B$15</f>
        <v/>
      </c>
      <c r="F5" s="9">
        <f>ROUND(D5*E5,2)</f>
        <v/>
      </c>
      <c r="G5" s="9">
        <f>SUMIFS(Yevmiye!$G$5:$G$200,Yevmiye!$A$5:$A$200,A5,Yevmiye!$E$5:$E$200,191)</f>
        <v/>
      </c>
      <c r="H5" s="10">
        <f>IF(ROUND(F5-G5,2)=0,"TUTUYOR","FARK VAR")</f>
        <v/>
      </c>
    </row>
    <row r="6">
      <c r="A6" t="n">
        <v>4</v>
      </c>
      <c r="B6" t="inlineStr">
        <is>
          <t>Alış faturası ÖRN-A-002</t>
        </is>
      </c>
      <c r="C6" t="inlineStr">
        <is>
          <t>Alış</t>
        </is>
      </c>
      <c r="D6" s="9" t="n">
        <v>8000</v>
      </c>
      <c r="E6" s="5">
        <f>Bilgi!$B$15</f>
        <v/>
      </c>
      <c r="F6" s="9">
        <f>ROUND(D6*E6,2)</f>
        <v/>
      </c>
      <c r="G6" s="9">
        <f>SUMIFS(Yevmiye!$G$5:$G$200,Yevmiye!$A$5:$A$200,A6,Yevmiye!$E$5:$E$200,191)</f>
        <v/>
      </c>
      <c r="H6" s="10">
        <f>IF(ROUND(F6-G6,2)=0,"TUTUYOR","FARK VAR")</f>
        <v/>
      </c>
    </row>
    <row r="7">
      <c r="A7" t="n">
        <v>5</v>
      </c>
      <c r="B7" t="inlineStr">
        <is>
          <t>Alış e-Faturası ÖRN-A-003</t>
        </is>
      </c>
      <c r="C7" t="inlineStr">
        <is>
          <t>Alış</t>
        </is>
      </c>
      <c r="D7" s="9" t="n">
        <v>150000</v>
      </c>
      <c r="E7" s="5">
        <f>Bilgi!$B$15</f>
        <v/>
      </c>
      <c r="F7" s="9">
        <f>ROUND(D7*E7,2)</f>
        <v/>
      </c>
      <c r="G7" s="9">
        <f>SUMIFS(Yevmiye!$G$5:$G$200,Yevmiye!$A$5:$A$200,A7,Yevmiye!$E$5:$E$200,191)</f>
        <v/>
      </c>
      <c r="H7" s="10">
        <f>IF(ROUND(F7-G7,2)=0,"TUTUYOR","FARK VAR")</f>
        <v/>
      </c>
    </row>
    <row r="8">
      <c r="A8" t="n">
        <v>6</v>
      </c>
      <c r="B8" t="inlineStr">
        <is>
          <t>e-Arşiv faturalar ÖRN-S-001…040</t>
        </is>
      </c>
      <c r="C8" t="inlineStr">
        <is>
          <t>Satış</t>
        </is>
      </c>
      <c r="D8" s="9" t="n">
        <v>60000</v>
      </c>
      <c r="E8" s="5">
        <f>Bilgi!$B$15</f>
        <v/>
      </c>
      <c r="F8" s="9">
        <f>ROUND(D8*E8,2)</f>
        <v/>
      </c>
      <c r="G8" s="9">
        <f>SUMIFS(Yevmiye!$H$5:$H$200,Yevmiye!$A$5:$A$200,A8,Yevmiye!$E$5:$E$200,391)</f>
        <v/>
      </c>
      <c r="H8" s="10">
        <f>IF(ROUND(F8-G8,2)=0,"TUTUYOR","FARK VAR")</f>
        <v/>
      </c>
    </row>
    <row r="9">
      <c r="A9" t="n">
        <v>7</v>
      </c>
      <c r="B9" t="inlineStr">
        <is>
          <t>Satış e-Faturası ÖRN-S-041</t>
        </is>
      </c>
      <c r="C9" t="inlineStr">
        <is>
          <t>Satış</t>
        </is>
      </c>
      <c r="D9" s="9" t="n">
        <v>40000</v>
      </c>
      <c r="E9" s="5">
        <f>Bilgi!$B$15</f>
        <v/>
      </c>
      <c r="F9" s="9">
        <f>ROUND(D9*E9,2)</f>
        <v/>
      </c>
      <c r="G9" s="9">
        <f>SUMIFS(Yevmiye!$H$5:$H$200,Yevmiye!$A$5:$A$200,A9,Yevmiye!$E$5:$E$200,391)</f>
        <v/>
      </c>
      <c r="H9" s="10">
        <f>IF(ROUND(F9-G9,2)=0,"TUTUYOR","FARK VAR")</f>
        <v/>
      </c>
    </row>
    <row r="10">
      <c r="A10" t="n">
        <v>8</v>
      </c>
      <c r="B10" t="inlineStr">
        <is>
          <t>Alış e-Faturası ÖRN-A-004</t>
        </is>
      </c>
      <c r="C10" t="inlineStr">
        <is>
          <t>Alış</t>
        </is>
      </c>
      <c r="D10" s="9" t="n">
        <v>25000</v>
      </c>
      <c r="E10" s="5">
        <f>Bilgi!$B$15</f>
        <v/>
      </c>
      <c r="F10" s="9">
        <f>ROUND(D10*E10,2)</f>
        <v/>
      </c>
      <c r="G10" s="9">
        <f>SUMIFS(Yevmiye!$G$5:$G$200,Yevmiye!$A$5:$A$200,A10,Yevmiye!$E$5:$E$200,191)</f>
        <v/>
      </c>
      <c r="H10" s="10">
        <f>IF(ROUND(F10-G10,2)=0,"TUTUYOR","FARK VAR")</f>
        <v/>
      </c>
    </row>
    <row r="11">
      <c r="A11" t="n">
        <v>9</v>
      </c>
      <c r="B11" t="inlineStr">
        <is>
          <t>Alış e-Faturası ÖRN-A-005</t>
        </is>
      </c>
      <c r="C11" t="inlineStr">
        <is>
          <t>Alış</t>
        </is>
      </c>
      <c r="D11" s="9" t="n">
        <v>4000</v>
      </c>
      <c r="E11" s="5">
        <f>Bilgi!$B$15</f>
        <v/>
      </c>
      <c r="F11" s="9">
        <f>ROUND(D11*E11,2)</f>
        <v/>
      </c>
      <c r="G11" s="9">
        <f>SUMIFS(Yevmiye!$G$5:$G$200,Yevmiye!$A$5:$A$200,A11,Yevmiye!$E$5:$E$200,191)</f>
        <v/>
      </c>
      <c r="H11" s="10">
        <f>IF(ROUND(F11-G11,2)=0,"TUTUYOR","FARK VAR")</f>
        <v/>
      </c>
    </row>
    <row r="13">
      <c r="A13" s="3" t="inlineStr">
        <is>
          <t>Dönem özeti</t>
        </is>
      </c>
    </row>
    <row r="14">
      <c r="B14" t="inlineStr">
        <is>
          <t>Hesaplanan KDV (satışlar)</t>
        </is>
      </c>
      <c r="D14" s="9">
        <f>SUMIF(C5:C11,"Satış",F5:F11)</f>
        <v/>
      </c>
    </row>
    <row r="15">
      <c r="B15" t="inlineStr">
        <is>
          <t>İndirilecek KDV (alışlar)</t>
        </is>
      </c>
      <c r="D15" s="9">
        <f>SUMIF(C5:C11,"Alış",F5:F11)</f>
        <v/>
      </c>
    </row>
    <row r="16">
      <c r="B16" t="inlineStr">
        <is>
          <t>Önceki dönemden devreden KDV</t>
        </is>
      </c>
      <c r="D16" s="9" t="n">
        <v>0</v>
      </c>
    </row>
    <row r="17">
      <c r="B17" s="3" t="inlineStr">
        <is>
          <t>Ödenecek KDV</t>
        </is>
      </c>
      <c r="D17" s="9">
        <f>MAX(D14-D15-D16,0)</f>
        <v/>
      </c>
    </row>
    <row r="18">
      <c r="B18" s="3" t="inlineStr">
        <is>
          <t>Sonraki döneme devreden KDV</t>
        </is>
      </c>
      <c r="D18" s="9">
        <f>MAX(D15+D16-D14,0)</f>
        <v/>
      </c>
    </row>
    <row r="19">
      <c r="B19" t="inlineStr">
        <is>
          <t>Kontrol: devreden = 191 hesabının ay sonu borç kalanı</t>
        </is>
      </c>
      <c r="D19" s="10">
        <f>IF(ROUND(D18-SUMIF(Mizan!A5:A40,191,Mizan!E5:E40),2)=0,"TUTUYOR","FARK VAR")</f>
        <v/>
      </c>
    </row>
    <row r="21">
      <c r="A21" s="3" t="inlineStr">
        <is>
          <t>ÖRNEK ay — rakamlar uydurmadır (devreden KDV'nin nasıl kullanıldığını görmek için)</t>
        </is>
      </c>
    </row>
    <row r="22">
      <c r="B22" t="inlineStr">
        <is>
          <t>Satış matrahı (ÖRNEK)</t>
        </is>
      </c>
      <c r="D22" s="9" t="n">
        <v>300000</v>
      </c>
    </row>
    <row r="23">
      <c r="B23" t="inlineStr">
        <is>
          <t>Alış matrahı (ÖRNEK)</t>
        </is>
      </c>
      <c r="D23" s="9" t="n">
        <v>120000</v>
      </c>
    </row>
    <row r="24">
      <c r="B24" t="inlineStr">
        <is>
          <t>Hesaplanan KDV</t>
        </is>
      </c>
      <c r="D24" s="9">
        <f>ROUND(D22*Bilgi!$B$15,2)</f>
        <v/>
      </c>
    </row>
    <row r="25">
      <c r="B25" t="inlineStr">
        <is>
          <t>İndirilecek KDV</t>
        </is>
      </c>
      <c r="D25" s="9">
        <f>ROUND(D23*Bilgi!$B$15,2)</f>
        <v/>
      </c>
    </row>
    <row r="26">
      <c r="B26" t="inlineStr">
        <is>
          <t>Önceki dönemden devreden (Ocak'tan)</t>
        </is>
      </c>
      <c r="D26" s="9">
        <f>D18</f>
        <v/>
      </c>
    </row>
    <row r="27">
      <c r="B27" t="inlineStr">
        <is>
          <t>Ödenecek KDV</t>
        </is>
      </c>
      <c r="D27" s="9">
        <f>MAX(D24-D25-D26,0)</f>
        <v/>
      </c>
    </row>
    <row r="28">
      <c r="B28" t="inlineStr">
        <is>
          <t>Sonraki döneme devreden</t>
        </is>
      </c>
      <c r="D28" s="9">
        <f>MAX(D25+D26-D24,0)</f>
        <v/>
      </c>
    </row>
    <row r="30">
      <c r="A30" s="3" t="inlineStr">
        <is>
          <t>KDV dahil tutardan matrahı bulmak</t>
        </is>
      </c>
    </row>
    <row r="31">
      <c r="B31" t="inlineStr">
        <is>
          <t>KDV dahil tutar (ÖRNEK)</t>
        </is>
      </c>
      <c r="D31" s="9" t="n">
        <v>1200</v>
      </c>
    </row>
    <row r="32">
      <c r="B32" t="inlineStr">
        <is>
          <t>Matrah = dahil tutar / (1 + oran)</t>
        </is>
      </c>
      <c r="D32" s="9">
        <f>ROUND(D31/(1+Bilgi!$B$15),2)</f>
        <v/>
      </c>
    </row>
    <row r="33">
      <c r="B33" t="inlineStr">
        <is>
          <t>KDV = dahil tutar − matrah</t>
        </is>
      </c>
      <c r="D33" s="9">
        <f>D31-D32</f>
        <v/>
      </c>
    </row>
    <row r="35">
      <c r="A35" s="2" t="inlineStr">
        <is>
          <t>Beyan ve ödeme tarihleri kanunda değil, GİB vergi takviminde güncel hâliyle görülür (ör. Ağustos 2026 dönemi: son gün 28.09.2026).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9" customWidth="1" min="3" max="3"/>
    <col width="14" customWidth="1" min="4" max="4"/>
    <col width="15" customWidth="1" min="5" max="5"/>
  </cols>
  <sheetData>
    <row r="1">
      <c r="A1" s="1" t="inlineStr">
        <is>
          <t>Stok ve Satılan Malın Maliyeti — Ocak 2026</t>
        </is>
      </c>
    </row>
    <row r="2">
      <c r="A2" s="2" t="inlineStr">
        <is>
          <t>Aralıklı envanter: ay sonunda sayılır; SMM = dönem başı stok + dönem içi alışlar − dönem sonu stok.</t>
        </is>
      </c>
    </row>
    <row r="4">
      <c r="A4" s="4" t="inlineStr">
        <is>
          <t>Ürün (ay sonu sayım)</t>
        </is>
      </c>
      <c r="B4" s="4" t="inlineStr">
        <is>
          <t>Birim</t>
        </is>
      </c>
      <c r="C4" s="4" t="inlineStr">
        <is>
          <t>Miktar</t>
        </is>
      </c>
      <c r="D4" s="4" t="inlineStr">
        <is>
          <t>Birim maliyet</t>
        </is>
      </c>
      <c r="E4" s="4" t="inlineStr">
        <is>
          <t>Tutar</t>
        </is>
      </c>
    </row>
    <row r="5">
      <c r="A5" t="inlineStr">
        <is>
          <t>French press (1 lt)</t>
        </is>
      </c>
      <c r="B5" t="inlineStr">
        <is>
          <t>adet</t>
        </is>
      </c>
      <c r="C5" t="n">
        <v>40</v>
      </c>
      <c r="D5" s="9" t="n">
        <v>750</v>
      </c>
      <c r="E5" s="9">
        <f>C5*D5</f>
        <v/>
      </c>
    </row>
    <row r="6">
      <c r="A6" t="inlineStr">
        <is>
          <t>Dökme demleme seti</t>
        </is>
      </c>
      <c r="B6" t="inlineStr">
        <is>
          <t>adet</t>
        </is>
      </c>
      <c r="C6" t="n">
        <v>50</v>
      </c>
      <c r="D6" s="9" t="n">
        <v>600</v>
      </c>
      <c r="E6" s="9">
        <f>C6*D6</f>
        <v/>
      </c>
    </row>
    <row r="7">
      <c r="A7" t="inlineStr">
        <is>
          <t>El değirmeni</t>
        </is>
      </c>
      <c r="B7" t="inlineStr">
        <is>
          <t>adet</t>
        </is>
      </c>
      <c r="C7" t="n">
        <v>20</v>
      </c>
      <c r="D7" s="9" t="n">
        <v>1500</v>
      </c>
      <c r="E7" s="9">
        <f>C7*D7</f>
        <v/>
      </c>
    </row>
    <row r="8">
      <c r="A8" t="inlineStr">
        <is>
          <t>Filtre kâğıdı (100'lü)</t>
        </is>
      </c>
      <c r="B8" t="inlineStr">
        <is>
          <t>paket</t>
        </is>
      </c>
      <c r="C8" t="n">
        <v>200</v>
      </c>
      <c r="D8" s="9" t="n">
        <v>50</v>
      </c>
      <c r="E8" s="9">
        <f>C8*D8</f>
        <v/>
      </c>
    </row>
    <row r="9">
      <c r="A9" s="15" t="inlineStr">
        <is>
          <t>Dönem sonu stok (sayım toplamı)</t>
        </is>
      </c>
      <c r="E9" s="16">
        <f>SUM(E5:E8)</f>
        <v/>
      </c>
    </row>
    <row r="11">
      <c r="A11" s="3" t="inlineStr">
        <is>
          <t>SMM hesabı</t>
        </is>
      </c>
    </row>
    <row r="12">
      <c r="A12" t="inlineStr">
        <is>
          <t>Dönem başı stok</t>
        </is>
      </c>
      <c r="E12" s="9" t="n">
        <v>0</v>
      </c>
    </row>
    <row r="13">
      <c r="A13" t="inlineStr">
        <is>
          <t>+ Dönem içi alışlar (153 borç, sayım kaydı hariç)</t>
        </is>
      </c>
      <c r="E13" s="9">
        <f>SUMIFS(Yevmiye!$G$5:$G$200,Yevmiye!$E$5:$E$200,153,Yevmiye!$A$5:$A$200,"&lt;&gt;13")</f>
        <v/>
      </c>
    </row>
    <row r="14">
      <c r="A14" t="inlineStr">
        <is>
          <t>− Dönem sonu stok (sayım)</t>
        </is>
      </c>
      <c r="E14" s="9">
        <f>E9</f>
        <v/>
      </c>
    </row>
    <row r="15">
      <c r="A15" s="3" t="inlineStr">
        <is>
          <t>Satılan malın maliyeti (SMM)</t>
        </is>
      </c>
      <c r="E15" s="9">
        <f>E12+E13-E14</f>
        <v/>
      </c>
    </row>
    <row r="16">
      <c r="A16" t="inlineStr">
        <is>
          <t>Kontrol: SMM = yevmiyedeki 621 kaydı</t>
        </is>
      </c>
      <c r="E16" s="10">
        <f>IF(ROUND(E15-SUMIF(Yevmiye!$E$5:$E$200,621,Yevmiye!$G$5:$G$200),2)=0,"TUTUYOR","FARK VAR")</f>
        <v/>
      </c>
    </row>
    <row r="17">
      <c r="A17" t="inlineStr">
        <is>
          <t>Kontrol: sayım = 153 hesabının ay sonu kalanı</t>
        </is>
      </c>
      <c r="E17" s="10">
        <f>IF(ROUND(E9-SUMIF(Mizan!A5:A40,153,Mizan!E5:E40),2)=0,"TUTUYOR","FARK VAR")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6" customWidth="1" min="3" max="3"/>
    <col width="16" customWidth="1" min="4" max="4"/>
    <col width="18" customWidth="1" min="5" max="5"/>
    <col width="18" customWidth="1" min="6" max="6"/>
    <col width="16" customWidth="1" min="7" max="7"/>
  </cols>
  <sheetData>
    <row r="1">
      <c r="A1" s="1" t="inlineStr">
        <is>
          <t>Amortisman — Tezgâh ve raf sistemi</t>
        </is>
      </c>
    </row>
    <row r="2">
      <c r="A2" s="2" t="inlineStr">
        <is>
          <t>VUK md. 313–320: normal amortisman oranı = 1 / faydalı ömür; azalan bakiyeler oranı normalin iki katı, en çok %50 (VUK mük. md. 315).</t>
        </is>
      </c>
    </row>
    <row r="4">
      <c r="A4" s="3" t="inlineStr">
        <is>
          <t>Kıymet</t>
        </is>
      </c>
      <c r="B4" t="inlineStr">
        <is>
          <t>Tezgâh ve raf sistemi (demirbaş, 255)</t>
        </is>
      </c>
    </row>
    <row r="5">
      <c r="A5" s="3" t="inlineStr">
        <is>
          <t>Maliyet bedeli (255 borç)</t>
        </is>
      </c>
      <c r="B5" s="9">
        <f>SUMIF(Yevmiye!$E$5:$E$200,255,Yevmiye!$G$5:$G$200)</f>
        <v/>
      </c>
    </row>
    <row r="6">
      <c r="A6" s="3" t="inlineStr">
        <is>
          <t>Aktife giriş</t>
        </is>
      </c>
      <c r="B6" s="8" t="n">
        <v>46028</v>
      </c>
    </row>
    <row r="7">
      <c r="A7" s="3" t="inlineStr">
        <is>
          <t>Faydalı ömür (yıl) — ÖRNEK</t>
        </is>
      </c>
      <c r="B7">
        <f>Bilgi!$B$17</f>
        <v/>
      </c>
    </row>
    <row r="8">
      <c r="A8" s="3" t="inlineStr">
        <is>
          <t>Normal amortisman oranı</t>
        </is>
      </c>
      <c r="B8" s="5">
        <f>1/B7</f>
        <v/>
      </c>
    </row>
    <row r="9">
      <c r="A9" s="3" t="inlineStr">
        <is>
          <t>Azalan bakiyeler oranı</t>
        </is>
      </c>
      <c r="B9" s="5">
        <f>MIN(2*B8,0.5)</f>
        <v/>
      </c>
    </row>
    <row r="11">
      <c r="A11" s="4" t="inlineStr">
        <is>
          <t>Yıl</t>
        </is>
      </c>
      <c r="B11" s="4" t="inlineStr">
        <is>
          <t>Normal: amortisman</t>
        </is>
      </c>
      <c r="C11" s="4" t="inlineStr">
        <is>
          <t>Normal: birikmiş</t>
        </is>
      </c>
      <c r="D11" s="4" t="inlineStr">
        <is>
          <t>Normal: net değer</t>
        </is>
      </c>
      <c r="E11" s="4" t="inlineStr">
        <is>
          <t>Azalan: dönem başı</t>
        </is>
      </c>
      <c r="F11" s="4" t="inlineStr">
        <is>
          <t>Azalan: amortisman</t>
        </is>
      </c>
      <c r="G11" s="4" t="inlineStr">
        <is>
          <t>Azalan: net değer</t>
        </is>
      </c>
    </row>
    <row r="12">
      <c r="A12" t="n">
        <v>2026</v>
      </c>
      <c r="B12" s="9">
        <f>IF(A12-$A$12&lt;$B$7,ROUND($B$5*$B$8,2),0)</f>
        <v/>
      </c>
      <c r="C12" s="9">
        <f>SUM($B$12:B12)</f>
        <v/>
      </c>
      <c r="D12" s="9">
        <f>$B$5-C12</f>
        <v/>
      </c>
      <c r="E12" s="9">
        <f>$B$5</f>
        <v/>
      </c>
      <c r="F12" s="9">
        <f>IF(A12-$A$12=$B$7-1,E12,ROUND(E12*$B$9,2))</f>
        <v/>
      </c>
      <c r="G12" s="9">
        <f>E12-F12</f>
        <v/>
      </c>
    </row>
    <row r="13">
      <c r="A13" t="n">
        <v>2027</v>
      </c>
      <c r="B13" s="9">
        <f>IF(A13-$A$12&lt;$B$7,ROUND($B$5*$B$8,2),0)</f>
        <v/>
      </c>
      <c r="C13" s="9">
        <f>SUM($B$12:B13)</f>
        <v/>
      </c>
      <c r="D13" s="9">
        <f>$B$5-C13</f>
        <v/>
      </c>
      <c r="E13" s="9">
        <f>G12</f>
        <v/>
      </c>
      <c r="F13" s="9">
        <f>IF(A13-$A$12=$B$7-1,E13,ROUND(E13*$B$9,2))</f>
        <v/>
      </c>
      <c r="G13" s="9">
        <f>E13-F13</f>
        <v/>
      </c>
    </row>
    <row r="14">
      <c r="A14" t="n">
        <v>2028</v>
      </c>
      <c r="B14" s="9">
        <f>IF(A14-$A$12&lt;$B$7,ROUND($B$5*$B$8,2),0)</f>
        <v/>
      </c>
      <c r="C14" s="9">
        <f>SUM($B$12:B14)</f>
        <v/>
      </c>
      <c r="D14" s="9">
        <f>$B$5-C14</f>
        <v/>
      </c>
      <c r="E14" s="9">
        <f>G13</f>
        <v/>
      </c>
      <c r="F14" s="9">
        <f>IF(A14-$A$12=$B$7-1,E14,ROUND(E14*$B$9,2))</f>
        <v/>
      </c>
      <c r="G14" s="9">
        <f>E14-F14</f>
        <v/>
      </c>
    </row>
    <row r="15">
      <c r="A15" t="n">
        <v>2029</v>
      </c>
      <c r="B15" s="9">
        <f>IF(A15-$A$12&lt;$B$7,ROUND($B$5*$B$8,2),0)</f>
        <v/>
      </c>
      <c r="C15" s="9">
        <f>SUM($B$12:B15)</f>
        <v/>
      </c>
      <c r="D15" s="9">
        <f>$B$5-C15</f>
        <v/>
      </c>
      <c r="E15" s="9">
        <f>G14</f>
        <v/>
      </c>
      <c r="F15" s="9">
        <f>IF(A15-$A$12=$B$7-1,E15,ROUND(E15*$B$9,2))</f>
        <v/>
      </c>
      <c r="G15" s="9">
        <f>E15-F15</f>
        <v/>
      </c>
    </row>
    <row r="16">
      <c r="A16" t="n">
        <v>2030</v>
      </c>
      <c r="B16" s="9">
        <f>IF(A16-$A$12&lt;$B$7,ROUND($B$5*$B$8,2),0)</f>
        <v/>
      </c>
      <c r="C16" s="9">
        <f>SUM($B$12:B16)</f>
        <v/>
      </c>
      <c r="D16" s="9">
        <f>$B$5-C16</f>
        <v/>
      </c>
      <c r="E16" s="9">
        <f>G15</f>
        <v/>
      </c>
      <c r="F16" s="9">
        <f>IF(A16-$A$12=$B$7-1,E16,ROUND(E16*$B$9,2))</f>
        <v/>
      </c>
      <c r="G16" s="9">
        <f>E16-F16</f>
        <v/>
      </c>
    </row>
    <row r="17">
      <c r="A17" s="15" t="inlineStr">
        <is>
          <t>Toplam</t>
        </is>
      </c>
      <c r="B17" s="16">
        <f>SUM(B12:B16)</f>
        <v/>
      </c>
      <c r="F17" s="16">
        <f>SUM(F12:F16)</f>
        <v/>
      </c>
    </row>
    <row r="18">
      <c r="A18" s="3" t="inlineStr">
        <is>
          <t>Kontrol: her iki yöntemde toplam = maliyet</t>
        </is>
      </c>
      <c r="B18" s="10">
        <f>IF(AND(ROUND(B17-B5,2)=0,ROUND(F17-B5,2)=0),"TUTUYOR","FARK VAR")</f>
        <v/>
      </c>
    </row>
    <row r="20">
      <c r="A20" s="3" t="inlineStr">
        <is>
          <t>Ocak payı (ara dönem, yıllık / 12)</t>
        </is>
      </c>
      <c r="B20" s="9">
        <f>ROUND(B12/12,2)</f>
        <v/>
      </c>
    </row>
    <row r="21">
      <c r="A21" s="3" t="inlineStr">
        <is>
          <t>Kontrol: yevmiyedeki 796 kaydı</t>
        </is>
      </c>
      <c r="B21" s="10">
        <f>IF(ROUND(B20-SUMIF(Yevmiye!$E$5:$E$200,796,Yevmiye!$G$5:$G$200),2)=0,"TUTUYOR","FARK VAR")</f>
        <v/>
      </c>
    </row>
    <row r="22">
      <c r="A22" s="2" t="inlineStr">
        <is>
          <t>Not: vergi hesabında amortisman yıllık ayrılır (VUK md. 320); aylık pay yalnız ara dönem yönetim tablosu içindir.</t>
        </is>
      </c>
    </row>
    <row r="24">
      <c r="A24" s="3" t="inlineStr">
        <is>
          <t>Doğrudan gider mi, amortisman mı? (VUK md. 313 — 2026 haddi Bilgi!B16)</t>
        </is>
      </c>
    </row>
    <row r="25">
      <c r="A25" s="4" t="inlineStr">
        <is>
          <t>Kıymet</t>
        </is>
      </c>
      <c r="B25" s="4" t="inlineStr">
        <is>
          <t>Değer</t>
        </is>
      </c>
      <c r="C25" s="4" t="inlineStr">
        <is>
          <t>Sonuç</t>
        </is>
      </c>
    </row>
    <row r="26">
      <c r="A26" t="inlineStr">
        <is>
          <t>Barkod okuyucu</t>
        </is>
      </c>
      <c r="B26" s="9" t="n">
        <v>8000</v>
      </c>
      <c r="C26" s="10">
        <f>IF(B26&lt;=Bilgi!$B$16,"doğrudan gider yazılabilir","amortismana tabi")</f>
        <v/>
      </c>
    </row>
    <row r="27">
      <c r="A27" t="inlineStr">
        <is>
          <t>Tezgâh ve raf sistemi</t>
        </is>
      </c>
      <c r="B27" s="9">
        <f>B5</f>
        <v/>
      </c>
      <c r="C27" s="10">
        <f>IF(B27&lt;=Bilgi!$B$16,"doğrudan gider yazılabilir","amortismana tabi")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8" customWidth="1" min="2" max="2"/>
  </cols>
  <sheetData>
    <row r="1">
      <c r="A1" s="1" t="inlineStr">
        <is>
          <t>Gelir Tablosu — 01.01.2026–31.01.2026 (ara dönem)</t>
        </is>
      </c>
    </row>
    <row r="2">
      <c r="A2" s="2" t="inlineStr">
        <is>
          <t>Tutarlar Mizan sayfasından formülle gelir. Vergi karşılığı bu çalışmanın kapsamı dışında (vergi öncesi kâr).</t>
        </is>
      </c>
    </row>
    <row r="4">
      <c r="A4" t="inlineStr">
        <is>
          <t>A. Brüt satışlar — Yurt içi satışlar (600)</t>
        </is>
      </c>
      <c r="B4" s="9">
        <f>SUMIF(Mizan!$A$5:$A$40,600,Mizan!$F$5:$F$40)-SUMIF(Mizan!$A$5:$A$40,600,Mizan!$E$5:$E$40)</f>
        <v/>
      </c>
    </row>
    <row r="5">
      <c r="A5" t="inlineStr">
        <is>
          <t>B. Satış indirimleri (−)</t>
        </is>
      </c>
      <c r="B5" s="9" t="n">
        <v>0</v>
      </c>
    </row>
    <row r="6">
      <c r="A6" s="15" t="inlineStr">
        <is>
          <t>C. Net satışlar</t>
        </is>
      </c>
      <c r="B6" s="19">
        <f>B4-B5</f>
        <v/>
      </c>
    </row>
    <row r="7">
      <c r="A7" t="inlineStr">
        <is>
          <t>D. Satışların maliyeti (−) — Satılan ticari mallar maliyeti (621)</t>
        </is>
      </c>
      <c r="B7" s="9">
        <f>SUMIF(Mizan!$A$5:$A$40,621,Mizan!$E$5:$E$40)-SUMIF(Mizan!$A$5:$A$40,621,Mizan!$F$5:$F$40)</f>
        <v/>
      </c>
    </row>
    <row r="8">
      <c r="A8" s="15" t="inlineStr">
        <is>
          <t>Brüt satış kârı</t>
        </is>
      </c>
      <c r="B8" s="19">
        <f>B6-B7</f>
        <v/>
      </c>
    </row>
    <row r="9">
      <c r="A9" t="inlineStr">
        <is>
          <t>E. Faaliyet giderleri (−) — Genel yönetim giderleri (632)</t>
        </is>
      </c>
      <c r="B9" s="9">
        <f>SUMIF(Mizan!$A$5:$A$40,632,Mizan!$E$5:$E$40)-SUMIF(Mizan!$A$5:$A$40,632,Mizan!$F$5:$F$40)</f>
        <v/>
      </c>
    </row>
    <row r="10">
      <c r="A10" s="15" t="inlineStr">
        <is>
          <t>Faaliyet kârı</t>
        </is>
      </c>
      <c r="B10" s="19">
        <f>B8-B9</f>
        <v/>
      </c>
    </row>
    <row r="11">
      <c r="A11" s="15" t="inlineStr">
        <is>
          <t>Dönem kârı (vergi öncesi)</t>
        </is>
      </c>
      <c r="B11" s="19">
        <f>B10</f>
        <v/>
      </c>
    </row>
    <row r="13">
      <c r="A13" s="3" t="inlineStr">
        <is>
          <t>Brüt kâr marjı</t>
        </is>
      </c>
      <c r="B13" s="20">
        <f>IF(B6=0,0,B8/B6)</f>
        <v/>
      </c>
    </row>
    <row r="15">
      <c r="A15" s="3" t="inlineStr">
        <is>
          <t>Kontrol: gelir tablosu hesaplarının net kalanı = dönem kârı</t>
        </is>
      </c>
      <c r="B15" s="10">
        <f>IF(ROUND(SUMIFS(Mizan!$F$5:$F$40,Mizan!$A$5:$A$40,"&gt;=600",Mizan!$A$5:$A$40,"&lt;700")-SUMIFS(Mizan!$E$5:$E$40,Mizan!$A$5:$A$40,"&gt;=600",Mizan!$A$5:$A$40,"&lt;700")-B11,2)=0,"TUTUYOR","FARK VAR")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" customWidth="1" min="3" max="3"/>
    <col width="44" customWidth="1" min="4" max="4"/>
    <col width="16" customWidth="1" min="5" max="5"/>
  </cols>
  <sheetData>
    <row r="1">
      <c r="A1" s="1" t="inlineStr">
        <is>
          <t>Bilanço — 31.01.2026 (ara dönem)</t>
        </is>
      </c>
    </row>
    <row r="2">
      <c r="A2" s="2" t="inlineStr">
        <is>
          <t>Aktif (varlıklar) = Pasif (kaynaklar). Dönem kârı Gelir Tablosu'ndan gelir; resmî yıl sonu bilançosu değildir.</t>
        </is>
      </c>
    </row>
    <row r="4">
      <c r="A4" s="4" t="inlineStr">
        <is>
          <t>AKTİF (Varlıklar)</t>
        </is>
      </c>
      <c r="B4" s="4" t="inlineStr">
        <is>
          <t>Tutar</t>
        </is>
      </c>
      <c r="C4" s="4" t="inlineStr"/>
      <c r="D4" s="4" t="inlineStr">
        <is>
          <t>PASİF (Kaynaklar)</t>
        </is>
      </c>
      <c r="E4" s="4" t="inlineStr">
        <is>
          <t>Tutar</t>
        </is>
      </c>
    </row>
    <row r="5">
      <c r="A5" s="3" t="inlineStr">
        <is>
          <t>I. DÖNEN VARLIKLAR</t>
        </is>
      </c>
      <c r="D5" s="3" t="inlineStr">
        <is>
          <t>III. KISA VADELİ YABANCI KAYNAKLAR</t>
        </is>
      </c>
    </row>
    <row r="6">
      <c r="A6" t="inlineStr">
        <is>
          <t xml:space="preserve">  Kasa (100)</t>
        </is>
      </c>
      <c r="B6" s="9">
        <f>(SUMIF(Mizan!$A$5:$A$40,100,Mizan!$E$5:$E$40)-SUMIF(Mizan!$A$5:$A$40,100,Mizan!$F$5:$F$40))</f>
        <v/>
      </c>
      <c r="D6" t="inlineStr">
        <is>
          <t xml:space="preserve">  Satıcılar (320)</t>
        </is>
      </c>
      <c r="E6" s="9">
        <f>(SUMIF(Mizan!$A$5:$A$40,320,Mizan!$F$5:$F$40)-SUMIF(Mizan!$A$5:$A$40,320,Mizan!$E$5:$E$40))</f>
        <v/>
      </c>
    </row>
    <row r="7">
      <c r="A7" t="inlineStr">
        <is>
          <t xml:space="preserve">  Bankalar (102)</t>
        </is>
      </c>
      <c r="B7" s="9">
        <f>(SUMIF(Mizan!$A$5:$A$40,102,Mizan!$E$5:$E$40)-SUMIF(Mizan!$A$5:$A$40,102,Mizan!$F$5:$F$40))</f>
        <v/>
      </c>
      <c r="D7" t="inlineStr">
        <is>
          <t xml:space="preserve">  Ödenecek vergi ve fonlar (360)</t>
        </is>
      </c>
      <c r="E7" s="9">
        <f>(SUMIF(Mizan!$A$5:$A$40,360,Mizan!$F$5:$F$40)-SUMIF(Mizan!$A$5:$A$40,360,Mizan!$E$5:$E$40))</f>
        <v/>
      </c>
    </row>
    <row r="8">
      <c r="A8" t="inlineStr">
        <is>
          <t xml:space="preserve">  Alıcılar (120)</t>
        </is>
      </c>
      <c r="B8" s="9">
        <f>(SUMIF(Mizan!$A$5:$A$40,120,Mizan!$E$5:$E$40)-SUMIF(Mizan!$A$5:$A$40,120,Mizan!$F$5:$F$40))</f>
        <v/>
      </c>
      <c r="D8" t="inlineStr">
        <is>
          <t xml:space="preserve">  Hesaplanan KDV (391)</t>
        </is>
      </c>
      <c r="E8" s="9">
        <f>(SUMIF(Mizan!$A$5:$A$40,391,Mizan!$F$5:$F$40)-SUMIF(Mizan!$A$5:$A$40,391,Mizan!$E$5:$E$40))</f>
        <v/>
      </c>
    </row>
    <row r="9">
      <c r="A9" t="inlineStr">
        <is>
          <t xml:space="preserve">  Ticari mallar (153)</t>
        </is>
      </c>
      <c r="B9" s="9">
        <f>(SUMIF(Mizan!$A$5:$A$40,153,Mizan!$E$5:$E$40)-SUMIF(Mizan!$A$5:$A$40,153,Mizan!$F$5:$F$40))</f>
        <v/>
      </c>
      <c r="D9" s="3" t="inlineStr">
        <is>
          <t xml:space="preserve">  Kısa vadeli yabancı kaynaklar toplamı</t>
        </is>
      </c>
      <c r="E9" s="19">
        <f>SUM(E6:E8)</f>
        <v/>
      </c>
    </row>
    <row r="10">
      <c r="A10" t="inlineStr">
        <is>
          <t xml:space="preserve">  İndirilecek KDV — devreden (191)</t>
        </is>
      </c>
      <c r="B10" s="9">
        <f>(SUMIF(Mizan!$A$5:$A$40,191,Mizan!$E$5:$E$40)-SUMIF(Mizan!$A$5:$A$40,191,Mizan!$F$5:$F$40))</f>
        <v/>
      </c>
      <c r="D10" s="3" t="inlineStr">
        <is>
          <t>V. ÖZ KAYNAKLAR</t>
        </is>
      </c>
    </row>
    <row r="11">
      <c r="A11" s="3" t="inlineStr">
        <is>
          <t xml:space="preserve">  Dönen varlıklar toplamı</t>
        </is>
      </c>
      <c r="B11" s="19">
        <f>SUM(B6:B10)</f>
        <v/>
      </c>
      <c r="D11" t="inlineStr">
        <is>
          <t xml:space="preserve">  Sermaye (500)</t>
        </is>
      </c>
      <c r="E11" s="9">
        <f>(SUMIF(Mizan!$A$5:$A$40,500,Mizan!$F$5:$F$40)-SUMIF(Mizan!$A$5:$A$40,500,Mizan!$E$5:$E$40))</f>
        <v/>
      </c>
    </row>
    <row r="12">
      <c r="A12" s="3" t="inlineStr">
        <is>
          <t>II. DURAN VARLIKLAR</t>
        </is>
      </c>
      <c r="D12" t="inlineStr">
        <is>
          <t xml:space="preserve">  Dönem kârı (Gelir Tablosu, vergi öncesi)</t>
        </is>
      </c>
      <c r="E12" s="9">
        <f>'Gelir Tablosu'!B11</f>
        <v/>
      </c>
    </row>
    <row r="13">
      <c r="A13" t="inlineStr">
        <is>
          <t xml:space="preserve">  Demirbaşlar (255)</t>
        </is>
      </c>
      <c r="B13" s="9">
        <f>(SUMIF(Mizan!$A$5:$A$40,255,Mizan!$E$5:$E$40)-SUMIF(Mizan!$A$5:$A$40,255,Mizan!$F$5:$F$40))</f>
        <v/>
      </c>
      <c r="D13" s="3" t="inlineStr">
        <is>
          <t xml:space="preserve">  Öz kaynaklar toplamı</t>
        </is>
      </c>
      <c r="E13" s="19">
        <f>SUM(E11:E12)</f>
        <v/>
      </c>
    </row>
    <row r="14">
      <c r="A14" t="inlineStr">
        <is>
          <t xml:space="preserve">  Birikmiş amortismanlar (257) (−)</t>
        </is>
      </c>
      <c r="B14" s="9">
        <f>-(SUMIF(Mizan!$A$5:$A$40,257,Mizan!$F$5:$F$40)-SUMIF(Mizan!$A$5:$A$40,257,Mizan!$E$5:$E$40))</f>
        <v/>
      </c>
    </row>
    <row r="15">
      <c r="A15" s="3" t="inlineStr">
        <is>
          <t xml:space="preserve">  Duran varlıklar toplamı</t>
        </is>
      </c>
      <c r="B15" s="19">
        <f>SUM(B13:B14)</f>
        <v/>
      </c>
    </row>
    <row r="17">
      <c r="A17" s="21" t="inlineStr">
        <is>
          <t>AKTİF TOPLAMI</t>
        </is>
      </c>
      <c r="B17" s="22">
        <f>B11+B15</f>
        <v/>
      </c>
      <c r="D17" s="21" t="inlineStr">
        <is>
          <t>PASİF TOPLAMI</t>
        </is>
      </c>
      <c r="E17" s="22">
        <f>E9+E13</f>
        <v/>
      </c>
    </row>
    <row r="19">
      <c r="A19" s="3" t="inlineStr">
        <is>
          <t>Kontrol: aktif = pasif</t>
        </is>
      </c>
      <c r="B19" s="17">
        <f>IF(ROUND(B17-E17,2)=0,"DENK","DENK DEĞİL")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60" customWidth="1" min="4" max="4"/>
  </cols>
  <sheetData>
    <row r="1">
      <c r="A1" s="1" t="inlineStr">
        <is>
          <t>Vergi Takvimi Örnekleri — 2026</t>
        </is>
      </c>
    </row>
    <row r="2">
      <c r="A2" s="2" t="inlineStr">
        <is>
          <t>Kaynak: GİB 2026 yıllık vergi takvimi ve gib.gov.tr vergi takvimi sayfası (okundu 2026-09-25). Kendi yükümlülüklerin için güncel takvime ve mali müşavirine bak.</t>
        </is>
      </c>
    </row>
    <row r="4">
      <c r="A4" s="4" t="inlineStr">
        <is>
          <t>Dönem</t>
        </is>
      </c>
      <c r="B4" s="4" t="inlineStr">
        <is>
          <t>Yükümlülük</t>
        </is>
      </c>
      <c r="C4" s="4" t="inlineStr">
        <is>
          <t>Son gün</t>
        </is>
      </c>
      <c r="D4" s="4" t="inlineStr">
        <is>
          <t>Not</t>
        </is>
      </c>
    </row>
    <row r="5">
      <c r="A5" t="inlineStr">
        <is>
          <t>Ocak 2026</t>
        </is>
      </c>
      <c r="B5" t="inlineStr">
        <is>
          <t>KDV beyanı ve ödemesi</t>
        </is>
      </c>
      <c r="C5" s="8" t="n">
        <v>46083</v>
      </c>
      <c r="D5" t="inlineStr">
        <is>
          <t>Kahve Durağı'nın Ocak beyanı; 28 Şubat Cumartesi → ilk iş günü</t>
        </is>
      </c>
    </row>
    <row r="6">
      <c r="A6" t="inlineStr">
        <is>
          <t>Ocak 2026</t>
        </is>
      </c>
      <c r="B6" t="inlineStr">
        <is>
          <t>Muhtasar ve prim hizmet beyannamesi</t>
        </is>
      </c>
      <c r="C6" s="8" t="n">
        <v>46079</v>
      </c>
      <c r="D6" t="inlineStr">
        <is>
          <t>çalışanı ya da stopaj kesintisi olan işletmeler</t>
        </is>
      </c>
    </row>
    <row r="7">
      <c r="A7" t="inlineStr">
        <is>
          <t>Şubat 2026</t>
        </is>
      </c>
      <c r="B7" t="inlineStr">
        <is>
          <t>KDV beyanı ve ödemesi</t>
        </is>
      </c>
      <c r="C7" s="8" t="n">
        <v>46111</v>
      </c>
      <c r="D7" t="inlineStr">
        <is>
          <t>28 Mart Cumartesi → 30 Mart Pazartesi</t>
        </is>
      </c>
    </row>
    <row r="8">
      <c r="A8" t="inlineStr">
        <is>
          <t>2025 yılı</t>
        </is>
      </c>
      <c r="B8" t="inlineStr">
        <is>
          <t>Yıllık gelir vergisi beyanı ve 1. taksit</t>
        </is>
      </c>
      <c r="C8" s="8" t="n">
        <v>46112</v>
      </c>
      <c r="D8" t="inlineStr">
        <is>
          <t>şahıs işletmeleri (gelir vergisi mükellefleri)</t>
        </is>
      </c>
    </row>
    <row r="9">
      <c r="A9" t="inlineStr">
        <is>
          <t>2025 yılı</t>
        </is>
      </c>
      <c r="B9" t="inlineStr">
        <is>
          <t>Kurumlar vergisi beyanı ve ödemesi</t>
        </is>
      </c>
      <c r="C9" s="8" t="n">
        <v>46142</v>
      </c>
      <c r="D9" t="inlineStr">
        <is>
          <t>şirketler (Kahve Durağı Ltd. Şti. gibi)</t>
        </is>
      </c>
    </row>
    <row r="10">
      <c r="A10" t="inlineStr">
        <is>
          <t>2026 I. dönem (Ocak–Mart)</t>
        </is>
      </c>
      <c r="B10" t="inlineStr">
        <is>
          <t>Geçici vergi beyanı ve ödemesi</t>
        </is>
      </c>
      <c r="C10" s="8" t="n">
        <v>46160</v>
      </c>
      <c r="D10" t="inlineStr">
        <is>
          <t>17 Mayıs Pazar → 18 Mayıs</t>
        </is>
      </c>
    </row>
    <row r="11">
      <c r="A11" t="inlineStr">
        <is>
          <t>Ağustos 2026</t>
        </is>
      </c>
      <c r="B11" t="inlineStr">
        <is>
          <t>KDV beyanı ve ödemesi</t>
        </is>
      </c>
      <c r="C11" s="8" t="n">
        <v>46293</v>
      </c>
      <c r="D11" t="inlineStr">
        <is>
          <t>gib.gov.tr vergi takvimi sayfası, 2026-09-25</t>
        </is>
      </c>
    </row>
    <row r="12">
      <c r="A12" t="inlineStr">
        <is>
          <t>Ağustos 2026</t>
        </is>
      </c>
      <c r="B12" t="inlineStr">
        <is>
          <t>Muhtasar ve prim hizmet beyannamesi</t>
        </is>
      </c>
      <c r="C12" s="8" t="n">
        <v>46293</v>
      </c>
      <c r="D12" t="inlineStr">
        <is>
          <t>26 Eylül Cumartesi → 28 Eylül Pazartesi</t>
        </is>
      </c>
    </row>
    <row r="14">
      <c r="A14" s="2" t="inlineStr">
        <is>
          <t>Kanun metnindeki gün ile takvimdeki gün aynı olmayabilir: KDV Kanunu md. 41 ve 46 beyan için 24., ödeme için 26. günü yazar;</t>
        </is>
      </c>
    </row>
    <row r="15">
      <c r="A15" s="2" t="inlineStr">
        <is>
          <t>2026 takviminde KDV son günü 28'idir (hafta sonuna denk gelirse ilk iş günü). Her zaman güncel GİB takvimine bak.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Muhasebe 101 lab</dc:creator>
  <dc:title>Kahve Durağı — Defter Çalışma Kitabı (kurgusal)</dc:title>
  <dcterms:created xsi:type="dcterms:W3CDTF">2026-09-25T11:13:09Z</dcterms:created>
  <dcterms:modified xsi:type="dcterms:W3CDTF">2026-09-25T11:13:09Z</dcterms:modified>
</cp:coreProperties>
</file>