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gi" sheetId="1" state="visible" r:id="rId1"/>
    <sheet name="Hesap Planı" sheetId="2" state="visible" r:id="rId2"/>
    <sheet name="Yevmiye" sheetId="3" state="visible" r:id="rId3"/>
    <sheet name="Mizan" sheetId="4" state="visible" r:id="rId4"/>
    <sheet name="Gelir Tablosu" sheetId="5" state="visible" r:id="rId5"/>
    <sheet name="Bilanç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&quot;-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E8E1D5"/>
      </patternFill>
    </fill>
    <fill>
      <patternFill patternType="solid">
        <fgColor rgb="00F4F0E8"/>
      </patternFill>
    </fill>
    <fill>
      <patternFill patternType="solid">
        <fgColor rgb="00E3F1E6"/>
      </patternFill>
    </fill>
  </fills>
  <borders count="2">
    <border>
      <left/>
      <right/>
      <top/>
      <bottom/>
      <diagonal/>
    </border>
    <border>
      <top style="thin">
        <color rgb="00333333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3" fillId="3" borderId="0" pivotButton="0" quotePrefix="0" xfId="0"/>
    <xf numFmtId="164" fontId="3" fillId="3" borderId="1" pivotButton="0" quotePrefix="0" xfId="0"/>
    <xf numFmtId="0" fontId="3" fillId="4" borderId="0" pivotButton="0" quotePrefix="0" xfId="0"/>
    <xf numFmtId="164" fontId="0" fillId="0" borderId="0" pivotButton="0" quotePrefix="0" xfId="0"/>
    <xf numFmtId="164" fontId="3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3" fillId="2" borderId="0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90" customWidth="1" min="3" max="3"/>
  </cols>
  <sheetData>
    <row r="1">
      <c r="A1" s="1" t="inlineStr">
        <is>
          <t>Kahve Durağı — Defter Çalışma Kitabı</t>
        </is>
      </c>
    </row>
    <row r="2">
      <c r="A2" s="2" t="inlineStr">
        <is>
          <t>KURGUSAL İŞLETME · Muhasebe 101 lab'ı · Bu çalışma kitabı eğitim amaçlıdır. Mali müşavirlik hizmeti değildir. Kendi durumunuz için mali müşavirinize danışın.</t>
        </is>
      </c>
    </row>
    <row r="4">
      <c r="A4" s="3" t="inlineStr">
        <is>
          <t>Unvan</t>
        </is>
      </c>
      <c r="B4" t="inlineStr">
        <is>
          <t>Kahve Durağı Ltd. Şti. (KURGUSAL)</t>
        </is>
      </c>
    </row>
    <row r="5">
      <c r="A5" s="3" t="inlineStr">
        <is>
          <t>Faaliyet</t>
        </is>
      </c>
      <c r="B5" t="inlineStr">
        <is>
          <t>kahve demleme ekipmanı satan küçük dükkân ve çevrim içi satış (kurgusal)</t>
        </is>
      </c>
    </row>
    <row r="6">
      <c r="A6" s="3" t="inlineStr">
        <is>
          <t>Vergi kimlik no</t>
        </is>
      </c>
      <c r="B6" t="inlineStr">
        <is>
          <t>0000000000</t>
        </is>
      </c>
    </row>
    <row r="7">
      <c r="A7" s="3" t="inlineStr">
        <is>
          <t>Adres</t>
        </is>
      </c>
      <c r="B7" t="inlineStr">
        <is>
          <t>Örnek Mah. Deneme Sok. No: 0, Eskişehir (kurgusal)</t>
        </is>
      </c>
    </row>
    <row r="8">
      <c r="A8" s="3" t="inlineStr">
        <is>
          <t>Telefon</t>
        </is>
      </c>
      <c r="B8" t="inlineStr">
        <is>
          <t>0222 000 00 00</t>
        </is>
      </c>
    </row>
    <row r="9">
      <c r="A9" s="3" t="inlineStr">
        <is>
          <t>E-posta</t>
        </is>
      </c>
      <c r="B9" t="inlineStr">
        <is>
          <t>defter@example.com</t>
        </is>
      </c>
    </row>
    <row r="10">
      <c r="A10" s="3" t="inlineStr">
        <is>
          <t>Defter esası</t>
        </is>
      </c>
      <c r="B10" t="inlineStr">
        <is>
          <t>bilanço esası — her türlü ticaret şirketi I. sınıf tüccardır (VUK md. 177/4)</t>
        </is>
      </c>
    </row>
    <row r="11">
      <c r="A11" s="3" t="inlineStr">
        <is>
          <t>Dönem</t>
        </is>
      </c>
      <c r="B11" t="inlineStr">
        <is>
          <t>Ocak 2026 (ara dönem, öğrenme amaçlı)</t>
        </is>
      </c>
    </row>
    <row r="13">
      <c r="A13" s="3" t="inlineStr">
        <is>
          <t>Parametreler (formüller buradan okur)</t>
        </is>
      </c>
    </row>
    <row r="14">
      <c r="A14" s="4" t="inlineStr">
        <is>
          <t>Parametre</t>
        </is>
      </c>
      <c r="B14" s="4" t="inlineStr">
        <is>
          <t>Değer</t>
        </is>
      </c>
      <c r="C14" s="4" t="inlineStr">
        <is>
          <t>Kaynak / not</t>
        </is>
      </c>
    </row>
    <row r="15" ht="48" customHeight="1">
      <c r="A15" t="inlineStr">
        <is>
          <t>KDV genel oranı</t>
        </is>
      </c>
      <c r="B15" s="5" t="n">
        <v>0.2</v>
      </c>
      <c r="C15" s="6" t="inlineStr">
        <is>
          <t>2007/13033 sayılı BKK md. 1/(a), 7346 sayılı Cumhurbaşkanı Kararı ile %18 → %20 (RG 7.7.2023, sayı 32241); GİB mevzuat sayfasında KDV oran kararlarının sonuncusu 9126 (RG 14.11.2024, yalnız liste değişikliği) — okundu 2026-09-25 · Kahve Durağı'nın bütün alış/satışlarında genel oran uygulandığı VARSAYILDI; bir ürünün (I) ya da (II) sayılı listede olup olmadığı ders kapsamında belirlenmez</t>
        </is>
      </c>
    </row>
    <row r="16" ht="48" customHeight="1">
      <c r="A16" t="inlineStr">
        <is>
          <t>Doğrudan gider yazma haddi (2026)</t>
        </is>
      </c>
      <c r="B16" s="7" t="n">
        <v>12000</v>
      </c>
      <c r="C16" s="6" t="inlineStr">
        <is>
          <t>VUK md. 313; 588 Sıra No.lu VUK Genel Tebliği ile 1.1.2026'dan geçerli tutar (RG 30.12.2025, sayı 33124 5. mükerrer) — mevzuat.gov.tr VUK metni, okundu 2026-09-25</t>
        </is>
      </c>
    </row>
    <row r="17" ht="48" customHeight="1">
      <c r="A17" t="inlineStr">
        <is>
          <t>Tezgâh ve raf sistemi faydalı ömrü (ÖRNEK)</t>
        </is>
      </c>
      <c r="B17" s="7" t="n">
        <v>5</v>
      </c>
      <c r="C17" s="6" t="inlineStr">
        <is>
          <t>ÖRNEK — Hazine ve Maliye Bakanlığı amortisman listesindeki karşılığı bu kayıtta doğrulanmadı (ACIK-SORULAR Q7)</t>
        </is>
      </c>
    </row>
    <row r="19">
      <c r="A19" s="3" t="inlineStr">
        <is>
          <t>Sayfalar</t>
        </is>
      </c>
    </row>
    <row r="20">
      <c r="A20" t="inlineStr">
        <is>
          <t>Hesap Planı</t>
        </is>
      </c>
      <c r="B20" t="inlineStr">
        <is>
          <t>kullanılan hesaplar — Tekdüzen Hesap Planı kodlarıyla (MSUGT, RG 26.12.1992)</t>
        </is>
      </c>
    </row>
    <row r="21">
      <c r="A21" t="inlineStr">
        <is>
          <t>Yevmiye</t>
        </is>
      </c>
      <c r="B21" t="inlineStr">
        <is>
          <t>tarih sırasıyla maddeler; her madde borç = alacak</t>
        </is>
      </c>
    </row>
    <row r="22">
      <c r="A22" t="inlineStr">
        <is>
          <t>Büyük Defter</t>
        </is>
      </c>
      <c r="B22" t="inlineStr">
        <is>
          <t>yevmiyedeki satırların hesap hesap dağılımı ve bakiyesi</t>
        </is>
      </c>
    </row>
    <row r="23">
      <c r="A23" t="inlineStr">
        <is>
          <t>Mizan</t>
        </is>
      </c>
      <c r="B23" t="inlineStr">
        <is>
          <t>hesapların borç/alacak toplamları ve kalanları; denklik kontrolü</t>
        </is>
      </c>
    </row>
    <row r="24">
      <c r="A24" t="inlineStr">
        <is>
          <t>Banka Ekstresi</t>
        </is>
      </c>
      <c r="B24" t="inlineStr">
        <is>
          <t>bankanın belgesi (kurgusal) ve defterle mutabakat</t>
        </is>
      </c>
    </row>
    <row r="25">
      <c r="A25" t="inlineStr">
        <is>
          <t>KDV</t>
        </is>
      </c>
      <c r="B25" t="inlineStr">
        <is>
          <t>hesaplanan, indirilecek, ödenecek / devreden KDV</t>
        </is>
      </c>
    </row>
    <row r="26">
      <c r="A26" t="inlineStr">
        <is>
          <t>Stok</t>
        </is>
      </c>
      <c r="B26" t="inlineStr">
        <is>
          <t>ay sonu sayım → satılan malın maliyeti</t>
        </is>
      </c>
    </row>
    <row r="27">
      <c r="A27" t="inlineStr">
        <is>
          <t>Amortisman</t>
        </is>
      </c>
      <c r="B27" t="inlineStr">
        <is>
          <t>demirbaşın yıllara dağıtılması; doğrudan gider haddi</t>
        </is>
      </c>
    </row>
    <row r="28">
      <c r="A28" t="inlineStr">
        <is>
          <t>Gelir Tablosu</t>
        </is>
      </c>
      <c r="B28" t="inlineStr">
        <is>
          <t>dönemin kârı — mizandan formülle</t>
        </is>
      </c>
    </row>
    <row r="29">
      <c r="A29" t="inlineStr">
        <is>
          <t>Bilanço</t>
        </is>
      </c>
      <c r="B29" t="inlineStr">
        <is>
          <t>ay sonu varlıklar = kaynaklar — mizandan formülle</t>
        </is>
      </c>
    </row>
    <row r="30">
      <c r="A30" t="inlineStr">
        <is>
          <t>Takvim</t>
        </is>
      </c>
      <c r="B30" t="inlineStr">
        <is>
          <t>2026 vergi takvimi örnekleri (GİB, okundu 2026-09-25)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20" customWidth="1" min="4" max="4"/>
    <col width="14" customWidth="1" min="5" max="5"/>
  </cols>
  <sheetData>
    <row r="1">
      <c r="A1" s="1" t="inlineStr">
        <is>
          <t>Hesap Planı (kullanılan hesaplar)</t>
        </is>
      </c>
    </row>
    <row r="2">
      <c r="A2" s="2" t="inlineStr">
        <is>
          <t>Kodlar Tekdüzen Hesap Planı'ndan (Muhasebe Sistemi Uygulama Genel Tebliği Sıra No: 1, RG 26.12.1992 sayı 21447 mük.). Ticaret işletmesi olarak giderler 7/B seçeneğiyle (79 Gider Çeşitleri) izlenir.</t>
        </is>
      </c>
    </row>
    <row r="4">
      <c r="A4" s="4" t="inlineStr">
        <is>
          <t>Kod</t>
        </is>
      </c>
      <c r="B4" s="4" t="inlineStr">
        <is>
          <t>Hesap adı</t>
        </is>
      </c>
      <c r="C4" s="4" t="inlineStr">
        <is>
          <t>Grup</t>
        </is>
      </c>
      <c r="D4" s="4" t="inlineStr">
        <is>
          <t>Tür</t>
        </is>
      </c>
      <c r="E4" s="4" t="inlineStr">
        <is>
          <t>Normal bakiye</t>
        </is>
      </c>
    </row>
    <row r="5">
      <c r="A5" t="n">
        <v>100</v>
      </c>
      <c r="B5" t="inlineStr">
        <is>
          <t>Kasa</t>
        </is>
      </c>
      <c r="C5" t="inlineStr">
        <is>
          <t>1 Dönen Varlıklar</t>
        </is>
      </c>
      <c r="D5" t="inlineStr">
        <is>
          <t>Varlık</t>
        </is>
      </c>
      <c r="E5" t="inlineStr">
        <is>
          <t>Borç</t>
        </is>
      </c>
    </row>
    <row r="6">
      <c r="A6" t="n">
        <v>102</v>
      </c>
      <c r="B6" t="inlineStr">
        <is>
          <t>Bankalar</t>
        </is>
      </c>
      <c r="C6" t="inlineStr">
        <is>
          <t>1 Dönen Varlıklar</t>
        </is>
      </c>
      <c r="D6" t="inlineStr">
        <is>
          <t>Varlık</t>
        </is>
      </c>
      <c r="E6" t="inlineStr">
        <is>
          <t>Borç</t>
        </is>
      </c>
    </row>
    <row r="7">
      <c r="A7" t="n">
        <v>120</v>
      </c>
      <c r="B7" t="inlineStr">
        <is>
          <t>Alıcılar</t>
        </is>
      </c>
      <c r="C7" t="inlineStr">
        <is>
          <t>1 Dönen Varlıklar</t>
        </is>
      </c>
      <c r="D7" t="inlineStr">
        <is>
          <t>Varlık</t>
        </is>
      </c>
      <c r="E7" t="inlineStr">
        <is>
          <t>Borç</t>
        </is>
      </c>
    </row>
    <row r="8">
      <c r="A8" t="n">
        <v>153</v>
      </c>
      <c r="B8" t="inlineStr">
        <is>
          <t>Ticari Mallar</t>
        </is>
      </c>
      <c r="C8" t="inlineStr">
        <is>
          <t>1 Dönen Varlıklar</t>
        </is>
      </c>
      <c r="D8" t="inlineStr">
        <is>
          <t>Varlık</t>
        </is>
      </c>
      <c r="E8" t="inlineStr">
        <is>
          <t>Borç</t>
        </is>
      </c>
    </row>
    <row r="9">
      <c r="A9" t="n">
        <v>191</v>
      </c>
      <c r="B9" t="inlineStr">
        <is>
          <t>İndirilecek KDV</t>
        </is>
      </c>
      <c r="C9" t="inlineStr">
        <is>
          <t>1 Dönen Varlıklar</t>
        </is>
      </c>
      <c r="D9" t="inlineStr">
        <is>
          <t>Varlık</t>
        </is>
      </c>
      <c r="E9" t="inlineStr">
        <is>
          <t>Borç</t>
        </is>
      </c>
    </row>
    <row r="10">
      <c r="A10" t="n">
        <v>255</v>
      </c>
      <c r="B10" t="inlineStr">
        <is>
          <t>Demirbaşlar</t>
        </is>
      </c>
      <c r="C10" t="inlineStr">
        <is>
          <t>2 Duran Varlıklar</t>
        </is>
      </c>
      <c r="D10" t="inlineStr">
        <is>
          <t>Varlık</t>
        </is>
      </c>
      <c r="E10" t="inlineStr">
        <is>
          <t>Borç</t>
        </is>
      </c>
    </row>
    <row r="11">
      <c r="A11" t="n">
        <v>257</v>
      </c>
      <c r="B11" t="inlineStr">
        <is>
          <t>Birikmiş Amortismanlar (-)</t>
        </is>
      </c>
      <c r="C11" t="inlineStr">
        <is>
          <t>2 Duran Varlıklar</t>
        </is>
      </c>
      <c r="D11" t="inlineStr">
        <is>
          <t>Varlık (düzenleyici)</t>
        </is>
      </c>
      <c r="E11" t="inlineStr">
        <is>
          <t>Alacak</t>
        </is>
      </c>
    </row>
    <row r="12">
      <c r="A12" t="n">
        <v>320</v>
      </c>
      <c r="B12" t="inlineStr">
        <is>
          <t>Satıcılar</t>
        </is>
      </c>
      <c r="C12" t="inlineStr">
        <is>
          <t>3 Kısa Vadeli Yabancı Kaynaklar</t>
        </is>
      </c>
      <c r="D12" t="inlineStr">
        <is>
          <t>Kaynak</t>
        </is>
      </c>
      <c r="E12" t="inlineStr">
        <is>
          <t>Alacak</t>
        </is>
      </c>
    </row>
    <row r="13">
      <c r="A13" t="n">
        <v>360</v>
      </c>
      <c r="B13" t="inlineStr">
        <is>
          <t>Ödenecek Vergi ve Fonlar</t>
        </is>
      </c>
      <c r="C13" t="inlineStr">
        <is>
          <t>3 Kısa Vadeli Yabancı Kaynaklar</t>
        </is>
      </c>
      <c r="D13" t="inlineStr">
        <is>
          <t>Kaynak</t>
        </is>
      </c>
      <c r="E13" t="inlineStr">
        <is>
          <t>Alacak</t>
        </is>
      </c>
    </row>
    <row r="14">
      <c r="A14" t="n">
        <v>391</v>
      </c>
      <c r="B14" t="inlineStr">
        <is>
          <t>Hesaplanan KDV</t>
        </is>
      </c>
      <c r="C14" t="inlineStr">
        <is>
          <t>3 Kısa Vadeli Yabancı Kaynaklar</t>
        </is>
      </c>
      <c r="D14" t="inlineStr">
        <is>
          <t>Kaynak</t>
        </is>
      </c>
      <c r="E14" t="inlineStr">
        <is>
          <t>Alacak</t>
        </is>
      </c>
    </row>
    <row r="15">
      <c r="A15" t="n">
        <v>500</v>
      </c>
      <c r="B15" t="inlineStr">
        <is>
          <t>Sermaye</t>
        </is>
      </c>
      <c r="C15" t="inlineStr">
        <is>
          <t>5 Öz Kaynaklar</t>
        </is>
      </c>
      <c r="D15" t="inlineStr">
        <is>
          <t>Kaynak</t>
        </is>
      </c>
      <c r="E15" t="inlineStr">
        <is>
          <t>Alacak</t>
        </is>
      </c>
    </row>
    <row r="16">
      <c r="A16" t="n">
        <v>600</v>
      </c>
      <c r="B16" t="inlineStr">
        <is>
          <t>Yurt İçi Satışlar</t>
        </is>
      </c>
      <c r="C16" t="inlineStr">
        <is>
          <t>6 Gelir Tablosu Hesapları</t>
        </is>
      </c>
      <c r="D16" t="inlineStr">
        <is>
          <t>Gelir</t>
        </is>
      </c>
      <c r="E16" t="inlineStr">
        <is>
          <t>Alacak</t>
        </is>
      </c>
    </row>
    <row r="17">
      <c r="A17" t="n">
        <v>621</v>
      </c>
      <c r="B17" t="inlineStr">
        <is>
          <t>Satılan Ticari Mallar Maliyeti (-)</t>
        </is>
      </c>
      <c r="C17" t="inlineStr">
        <is>
          <t>6 Gelir Tablosu Hesapları</t>
        </is>
      </c>
      <c r="D17" t="inlineStr">
        <is>
          <t>Gider</t>
        </is>
      </c>
      <c r="E17" t="inlineStr">
        <is>
          <t>Borç</t>
        </is>
      </c>
    </row>
    <row r="18">
      <c r="A18" t="n">
        <v>632</v>
      </c>
      <c r="B18" t="inlineStr">
        <is>
          <t>Genel Yönetim Giderleri (-)</t>
        </is>
      </c>
      <c r="C18" t="inlineStr">
        <is>
          <t>6 Gelir Tablosu Hesapları</t>
        </is>
      </c>
      <c r="D18" t="inlineStr">
        <is>
          <t>Gider</t>
        </is>
      </c>
      <c r="E18" t="inlineStr">
        <is>
          <t>Borç</t>
        </is>
      </c>
    </row>
    <row r="19">
      <c r="A19" t="n">
        <v>793</v>
      </c>
      <c r="B19" t="inlineStr">
        <is>
          <t>Dışarıdan Sağlanan Fayda ve Hizmetler</t>
        </is>
      </c>
      <c r="C19" t="inlineStr">
        <is>
          <t>7 Maliyet Hesapları (7/B)</t>
        </is>
      </c>
      <c r="D19" t="inlineStr">
        <is>
          <t>Gider çeşidi</t>
        </is>
      </c>
      <c r="E19" t="inlineStr">
        <is>
          <t>Borç</t>
        </is>
      </c>
    </row>
    <row r="20">
      <c r="A20" t="n">
        <v>794</v>
      </c>
      <c r="B20" t="inlineStr">
        <is>
          <t>Çeşitli Giderler</t>
        </is>
      </c>
      <c r="C20" t="inlineStr">
        <is>
          <t>7 Maliyet Hesapları (7/B)</t>
        </is>
      </c>
      <c r="D20" t="inlineStr">
        <is>
          <t>Gider çeşidi</t>
        </is>
      </c>
      <c r="E20" t="inlineStr">
        <is>
          <t>Borç</t>
        </is>
      </c>
    </row>
    <row r="21">
      <c r="A21" t="n">
        <v>796</v>
      </c>
      <c r="B21" t="inlineStr">
        <is>
          <t>Amortismanlar ve Tükenme Payları</t>
        </is>
      </c>
      <c r="C21" t="inlineStr">
        <is>
          <t>7 Maliyet Hesapları (7/B)</t>
        </is>
      </c>
      <c r="D21" t="inlineStr">
        <is>
          <t>Gider çeşidi</t>
        </is>
      </c>
      <c r="E21" t="inlineStr">
        <is>
          <t>Borç</t>
        </is>
      </c>
    </row>
    <row r="22">
      <c r="A22" t="n">
        <v>798</v>
      </c>
      <c r="B22" t="inlineStr">
        <is>
          <t>Gider Çeşitleri Yansıtma Hesabı</t>
        </is>
      </c>
      <c r="C22" t="inlineStr">
        <is>
          <t>7 Maliyet Hesapları (7/B)</t>
        </is>
      </c>
      <c r="D22" t="inlineStr">
        <is>
          <t>Yansıtma</t>
        </is>
      </c>
      <c r="E22" t="inlineStr">
        <is>
          <t>Alacak</t>
        </is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44" customWidth="1" min="4" max="4"/>
    <col width="8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Yevmiye Defteri — Ocak 2026</t>
        </is>
      </c>
    </row>
    <row r="2">
      <c r="A2" s="2" t="inlineStr">
        <is>
          <t>Her madde bir belgeye dayanır; bir maddenin borç toplamı alacak toplamına eşit olmalıdır (I sütunu).</t>
        </is>
      </c>
    </row>
    <row r="4">
      <c r="A4" s="4" t="inlineStr">
        <is>
          <t>Madde</t>
        </is>
      </c>
      <c r="B4" s="4" t="inlineStr">
        <is>
          <t>Tarih</t>
        </is>
      </c>
      <c r="C4" s="4" t="inlineStr">
        <is>
          <t>Belge</t>
        </is>
      </c>
      <c r="D4" s="4" t="inlineStr">
        <is>
          <t>Açıklama</t>
        </is>
      </c>
      <c r="E4" s="4" t="inlineStr">
        <is>
          <t>Hesap</t>
        </is>
      </c>
      <c r="F4" s="4" t="inlineStr">
        <is>
          <t>Hesap adı</t>
        </is>
      </c>
      <c r="G4" s="4" t="inlineStr">
        <is>
          <t>Borç</t>
        </is>
      </c>
      <c r="H4" s="4" t="inlineStr">
        <is>
          <t>Alacak</t>
        </is>
      </c>
      <c r="I4" s="4" t="inlineStr">
        <is>
          <t>Madde kontrolü</t>
        </is>
      </c>
    </row>
    <row r="5">
      <c r="F5">
        <f>IF(E5="","",IFERROR(VLOOKUP(E5,'Hesap Planı'!$A$5:$B$22,2,FALSE),"HESAP PLANINDA YOK"))</f>
        <v/>
      </c>
    </row>
    <row r="6">
      <c r="F6">
        <f>IF(E6="","",IFERROR(VLOOKUP(E6,'Hesap Planı'!$A$5:$B$22,2,FALSE),"HESAP PLANINDA YOK"))</f>
        <v/>
      </c>
    </row>
    <row r="7">
      <c r="F7">
        <f>IF(E7="","",IFERROR(VLOOKUP(E7,'Hesap Planı'!$A$5:$B$22,2,FALSE),"HESAP PLANINDA YOK"))</f>
        <v/>
      </c>
    </row>
    <row r="8">
      <c r="F8">
        <f>IF(E8="","",IFERROR(VLOOKUP(E8,'Hesap Planı'!$A$5:$B$22,2,FALSE),"HESAP PLANINDA YOK"))</f>
        <v/>
      </c>
    </row>
    <row r="9">
      <c r="F9">
        <f>IF(E9="","",IFERROR(VLOOKUP(E9,'Hesap Planı'!$A$5:$B$22,2,FALSE),"HESAP PLANINDA YOK"))</f>
        <v/>
      </c>
    </row>
    <row r="10">
      <c r="F10">
        <f>IF(E10="","",IFERROR(VLOOKUP(E10,'Hesap Planı'!$A$5:$B$22,2,FALSE),"HESAP PLANINDA YOK"))</f>
        <v/>
      </c>
    </row>
    <row r="11">
      <c r="F11">
        <f>IF(E11="","",IFERROR(VLOOKUP(E11,'Hesap Planı'!$A$5:$B$22,2,FALSE),"HESAP PLANINDA YOK"))</f>
        <v/>
      </c>
    </row>
    <row r="12">
      <c r="F12">
        <f>IF(E12="","",IFERROR(VLOOKUP(E12,'Hesap Planı'!$A$5:$B$22,2,FALSE),"HESAP PLANINDA YOK"))</f>
        <v/>
      </c>
    </row>
    <row r="13">
      <c r="F13">
        <f>IF(E13="","",IFERROR(VLOOKUP(E13,'Hesap Planı'!$A$5:$B$22,2,FALSE),"HESAP PLANINDA YOK"))</f>
        <v/>
      </c>
    </row>
    <row r="14">
      <c r="F14">
        <f>IF(E14="","",IFERROR(VLOOKUP(E14,'Hesap Planı'!$A$5:$B$22,2,FALSE),"HESAP PLANINDA YOK"))</f>
        <v/>
      </c>
    </row>
    <row r="15">
      <c r="F15">
        <f>IF(E15="","",IFERROR(VLOOKUP(E15,'Hesap Planı'!$A$5:$B$22,2,FALSE),"HESAP PLANINDA YOK"))</f>
        <v/>
      </c>
    </row>
    <row r="16">
      <c r="F16">
        <f>IF(E16="","",IFERROR(VLOOKUP(E16,'Hesap Planı'!$A$5:$B$22,2,FALSE),"HESAP PLANINDA YOK"))</f>
        <v/>
      </c>
    </row>
    <row r="17">
      <c r="F17">
        <f>IF(E17="","",IFERROR(VLOOKUP(E17,'Hesap Planı'!$A$5:$B$22,2,FALSE),"HESAP PLANINDA YOK"))</f>
        <v/>
      </c>
    </row>
    <row r="18">
      <c r="F18">
        <f>IF(E18="","",IFERROR(VLOOKUP(E18,'Hesap Planı'!$A$5:$B$22,2,FALSE),"HESAP PLANINDA YOK"))</f>
        <v/>
      </c>
    </row>
    <row r="19">
      <c r="F19">
        <f>IF(E19="","",IFERROR(VLOOKUP(E19,'Hesap Planı'!$A$5:$B$22,2,FALSE),"HESAP PLANINDA YOK"))</f>
        <v/>
      </c>
    </row>
    <row r="20">
      <c r="F20">
        <f>IF(E20="","",IFERROR(VLOOKUP(E20,'Hesap Planı'!$A$5:$B$22,2,FALSE),"HESAP PLANINDA YOK"))</f>
        <v/>
      </c>
    </row>
    <row r="21">
      <c r="F21">
        <f>IF(E21="","",IFERROR(VLOOKUP(E21,'Hesap Planı'!$A$5:$B$22,2,FALSE),"HESAP PLANINDA YOK"))</f>
        <v/>
      </c>
    </row>
    <row r="22">
      <c r="F22">
        <f>IF(E22="","",IFERROR(VLOOKUP(E22,'Hesap Planı'!$A$5:$B$22,2,FALSE),"HESAP PLANINDA YOK"))</f>
        <v/>
      </c>
    </row>
    <row r="23">
      <c r="F23">
        <f>IF(E23="","",IFERROR(VLOOKUP(E23,'Hesap Planı'!$A$5:$B$22,2,FALSE),"HESAP PLANINDA YOK"))</f>
        <v/>
      </c>
    </row>
    <row r="24">
      <c r="F24">
        <f>IF(E24="","",IFERROR(VLOOKUP(E24,'Hesap Planı'!$A$5:$B$22,2,FALSE),"HESAP PLANINDA YOK"))</f>
        <v/>
      </c>
    </row>
    <row r="25">
      <c r="F25">
        <f>IF(E25="","",IFERROR(VLOOKUP(E25,'Hesap Planı'!$A$5:$B$22,2,FALSE),"HESAP PLANINDA YOK"))</f>
        <v/>
      </c>
    </row>
    <row r="26">
      <c r="F26">
        <f>IF(E26="","",IFERROR(VLOOKUP(E26,'Hesap Planı'!$A$5:$B$22,2,FALSE),"HESAP PLANINDA YOK"))</f>
        <v/>
      </c>
    </row>
    <row r="27">
      <c r="F27">
        <f>IF(E27="","",IFERROR(VLOOKUP(E27,'Hesap Planı'!$A$5:$B$22,2,FALSE),"HESAP PLANINDA YOK"))</f>
        <v/>
      </c>
    </row>
    <row r="28">
      <c r="F28">
        <f>IF(E28="","",IFERROR(VLOOKUP(E28,'Hesap Planı'!$A$5:$B$22,2,FALSE),"HESAP PLANINDA YOK"))</f>
        <v/>
      </c>
    </row>
    <row r="29">
      <c r="F29">
        <f>IF(E29="","",IFERROR(VLOOKUP(E29,'Hesap Planı'!$A$5:$B$22,2,FALSE),"HESAP PLANINDA YOK"))</f>
        <v/>
      </c>
    </row>
    <row r="30">
      <c r="F30">
        <f>IF(E30="","",IFERROR(VLOOKUP(E30,'Hesap Planı'!$A$5:$B$22,2,FALSE),"HESAP PLANINDA YOK"))</f>
        <v/>
      </c>
    </row>
    <row r="31">
      <c r="F31">
        <f>IF(E31="","",IFERROR(VLOOKUP(E31,'Hesap Planı'!$A$5:$B$22,2,FALSE),"HESAP PLANINDA YOK"))</f>
        <v/>
      </c>
    </row>
    <row r="32">
      <c r="F32">
        <f>IF(E32="","",IFERROR(VLOOKUP(E32,'Hesap Planı'!$A$5:$B$22,2,FALSE),"HESAP PLANINDA YOK"))</f>
        <v/>
      </c>
    </row>
    <row r="33">
      <c r="F33">
        <f>IF(E33="","",IFERROR(VLOOKUP(E33,'Hesap Planı'!$A$5:$B$22,2,FALSE),"HESAP PLANINDA YOK"))</f>
        <v/>
      </c>
    </row>
    <row r="34">
      <c r="F34">
        <f>IF(E34="","",IFERROR(VLOOKUP(E34,'Hesap Planı'!$A$5:$B$22,2,FALSE),"HESAP PLANINDA YOK"))</f>
        <v/>
      </c>
    </row>
    <row r="35">
      <c r="F35">
        <f>IF(E35="","",IFERROR(VLOOKUP(E35,'Hesap Planı'!$A$5:$B$22,2,FALSE),"HESAP PLANINDA YOK"))</f>
        <v/>
      </c>
    </row>
    <row r="36">
      <c r="F36">
        <f>IF(E36="","",IFERROR(VLOOKUP(E36,'Hesap Planı'!$A$5:$B$22,2,FALSE),"HESAP PLANINDA YOK"))</f>
        <v/>
      </c>
    </row>
    <row r="37">
      <c r="F37">
        <f>IF(E37="","",IFERROR(VLOOKUP(E37,'Hesap Planı'!$A$5:$B$22,2,FALSE),"HESAP PLANINDA YOK"))</f>
        <v/>
      </c>
    </row>
    <row r="38">
      <c r="F38">
        <f>IF(E38="","",IFERROR(VLOOKUP(E38,'Hesap Planı'!$A$5:$B$22,2,FALSE),"HESAP PLANINDA YOK"))</f>
        <v/>
      </c>
    </row>
    <row r="39">
      <c r="F39">
        <f>IF(E39="","",IFERROR(VLOOKUP(E39,'Hesap Planı'!$A$5:$B$22,2,FALSE),"HESAP PLANINDA YOK"))</f>
        <v/>
      </c>
    </row>
    <row r="40">
      <c r="F40">
        <f>IF(E40="","",IFERROR(VLOOKUP(E40,'Hesap Planı'!$A$5:$B$22,2,FALSE),"HESAP PLANINDA YOK"))</f>
        <v/>
      </c>
    </row>
    <row r="41">
      <c r="F41">
        <f>IF(E41="","",IFERROR(VLOOKUP(E41,'Hesap Planı'!$A$5:$B$22,2,FALSE),"HESAP PLANINDA YOK"))</f>
        <v/>
      </c>
    </row>
    <row r="42">
      <c r="F42">
        <f>IF(E42="","",IFERROR(VLOOKUP(E42,'Hesap Planı'!$A$5:$B$22,2,FALSE),"HESAP PLANINDA YOK"))</f>
        <v/>
      </c>
    </row>
    <row r="43">
      <c r="F43">
        <f>IF(E43="","",IFERROR(VLOOKUP(E43,'Hesap Planı'!$A$5:$B$22,2,FALSE),"HESAP PLANINDA YOK"))</f>
        <v/>
      </c>
    </row>
    <row r="44">
      <c r="F44">
        <f>IF(E44="","",IFERROR(VLOOKUP(E44,'Hesap Planı'!$A$5:$B$22,2,FALSE),"HESAP PLANINDA YOK"))</f>
        <v/>
      </c>
    </row>
    <row r="45">
      <c r="F45">
        <f>IF(E45="","",IFERROR(VLOOKUP(E45,'Hesap Planı'!$A$5:$B$22,2,FALSE),"HESAP PLANINDA YOK"))</f>
        <v/>
      </c>
    </row>
    <row r="46">
      <c r="F46">
        <f>IF(E46="","",IFERROR(VLOOKUP(E46,'Hesap Planı'!$A$5:$B$22,2,FALSE),"HESAP PLANINDA YOK"))</f>
        <v/>
      </c>
    </row>
    <row r="47">
      <c r="F47">
        <f>IF(E47="","",IFERROR(VLOOKUP(E47,'Hesap Planı'!$A$5:$B$22,2,FALSE),"HESAP PLANINDA YOK"))</f>
        <v/>
      </c>
    </row>
    <row r="48">
      <c r="F48">
        <f>IF(E48="","",IFERROR(VLOOKUP(E48,'Hesap Planı'!$A$5:$B$22,2,FALSE),"HESAP PLANINDA YOK"))</f>
        <v/>
      </c>
    </row>
    <row r="49">
      <c r="F49">
        <f>IF(E49="","",IFERROR(VLOOKUP(E49,'Hesap Planı'!$A$5:$B$22,2,FALSE),"HESAP PLANINDA YOK"))</f>
        <v/>
      </c>
    </row>
    <row r="50">
      <c r="F50">
        <f>IF(E50="","",IFERROR(VLOOKUP(E50,'Hesap Planı'!$A$5:$B$22,2,FALSE),"HESAP PLANINDA YOK"))</f>
        <v/>
      </c>
    </row>
    <row r="51">
      <c r="F51">
        <f>IF(E51="","",IFERROR(VLOOKUP(E51,'Hesap Planı'!$A$5:$B$22,2,FALSE),"HESAP PLANINDA YOK"))</f>
        <v/>
      </c>
    </row>
    <row r="52">
      <c r="F52">
        <f>IF(E52="","",IFERROR(VLOOKUP(E52,'Hesap Planı'!$A$5:$B$22,2,FALSE),"HESAP PLANINDA YOK"))</f>
        <v/>
      </c>
    </row>
    <row r="53">
      <c r="F53">
        <f>IF(E53="","",IFERROR(VLOOKUP(E53,'Hesap Planı'!$A$5:$B$22,2,FALSE),"HESAP PLANINDA YOK"))</f>
        <v/>
      </c>
    </row>
    <row r="54">
      <c r="F54">
        <f>IF(E54="","",IFERROR(VLOOKUP(E54,'Hesap Planı'!$A$5:$B$22,2,FALSE),"HESAP PLANINDA YOK"))</f>
        <v/>
      </c>
    </row>
    <row r="55">
      <c r="F55">
        <f>IF(E55="","",IFERROR(VLOOKUP(E55,'Hesap Planı'!$A$5:$B$22,2,FALSE),"HESAP PLANINDA YOK"))</f>
        <v/>
      </c>
    </row>
    <row r="56">
      <c r="F56">
        <f>IF(E56="","",IFERROR(VLOOKUP(E56,'Hesap Planı'!$A$5:$B$22,2,FALSE),"HESAP PLANINDA YOK"))</f>
        <v/>
      </c>
    </row>
    <row r="57">
      <c r="F57">
        <f>IF(E57="","",IFERROR(VLOOKUP(E57,'Hesap Planı'!$A$5:$B$22,2,FALSE),"HESAP PLANINDA YOK"))</f>
        <v/>
      </c>
    </row>
    <row r="58">
      <c r="F58">
        <f>IF(E58="","",IFERROR(VLOOKUP(E58,'Hesap Planı'!$A$5:$B$22,2,FALSE),"HESAP PLANINDA YOK"))</f>
        <v/>
      </c>
    </row>
    <row r="59">
      <c r="F59">
        <f>IF(E59="","",IFERROR(VLOOKUP(E59,'Hesap Planı'!$A$5:$B$22,2,FALSE),"HESAP PLANINDA YOK"))</f>
        <v/>
      </c>
    </row>
    <row r="60">
      <c r="F60">
        <f>IF(E60="","",IFERROR(VLOOKUP(E60,'Hesap Planı'!$A$5:$B$22,2,FALSE),"HESAP PLANINDA YOK"))</f>
        <v/>
      </c>
    </row>
    <row r="61">
      <c r="F61">
        <f>IF(E61="","",IFERROR(VLOOKUP(E61,'Hesap Planı'!$A$5:$B$22,2,FALSE),"HESAP PLANINDA YOK"))</f>
        <v/>
      </c>
    </row>
    <row r="62">
      <c r="F62">
        <f>IF(E62="","",IFERROR(VLOOKUP(E62,'Hesap Planı'!$A$5:$B$22,2,FALSE),"HESAP PLANINDA YOK"))</f>
        <v/>
      </c>
    </row>
    <row r="63">
      <c r="F63">
        <f>IF(E63="","",IFERROR(VLOOKUP(E63,'Hesap Planı'!$A$5:$B$22,2,FALSE),"HESAP PLANINDA YOK"))</f>
        <v/>
      </c>
    </row>
    <row r="64">
      <c r="F64">
        <f>IF(E64="","",IFERROR(VLOOKUP(E64,'Hesap Planı'!$A$5:$B$22,2,FALSE),"HESAP PLANINDA YOK"))</f>
        <v/>
      </c>
    </row>
    <row r="65">
      <c r="F65">
        <f>IF(E65="","",IFERROR(VLOOKUP(E65,'Hesap Planı'!$A$5:$B$22,2,FALSE),"HESAP PLANINDA YOK"))</f>
        <v/>
      </c>
    </row>
    <row r="66">
      <c r="F66">
        <f>IF(E66="","",IFERROR(VLOOKUP(E66,'Hesap Planı'!$A$5:$B$22,2,FALSE),"HESAP PLANINDA YOK"))</f>
        <v/>
      </c>
    </row>
    <row r="67">
      <c r="F67">
        <f>IF(E67="","",IFERROR(VLOOKUP(E67,'Hesap Planı'!$A$5:$B$22,2,FALSE),"HESAP PLANINDA YOK"))</f>
        <v/>
      </c>
    </row>
    <row r="68">
      <c r="F68">
        <f>IF(E68="","",IFERROR(VLOOKUP(E68,'Hesap Planı'!$A$5:$B$22,2,FALSE),"HESAP PLANINDA YOK"))</f>
        <v/>
      </c>
    </row>
    <row r="69">
      <c r="F69">
        <f>IF(E69="","",IFERROR(VLOOKUP(E69,'Hesap Planı'!$A$5:$B$22,2,FALSE),"HESAP PLANINDA YOK"))</f>
        <v/>
      </c>
    </row>
    <row r="70">
      <c r="F70">
        <f>IF(E70="","",IFERROR(VLOOKUP(E70,'Hesap Planı'!$A$5:$B$22,2,FALSE),"HESAP PLANINDA YOK"))</f>
        <v/>
      </c>
    </row>
    <row r="71">
      <c r="F71">
        <f>IF(E71="","",IFERROR(VLOOKUP(E71,'Hesap Planı'!$A$5:$B$22,2,FALSE),"HESAP PLANINDA YOK"))</f>
        <v/>
      </c>
    </row>
    <row r="72">
      <c r="F72">
        <f>IF(E72="","",IFERROR(VLOOKUP(E72,'Hesap Planı'!$A$5:$B$22,2,FALSE),"HESAP PLANINDA YOK"))</f>
        <v/>
      </c>
    </row>
    <row r="73">
      <c r="F73">
        <f>IF(E73="","",IFERROR(VLOOKUP(E73,'Hesap Planı'!$A$5:$B$22,2,FALSE),"HESAP PLANINDA YOK"))</f>
        <v/>
      </c>
    </row>
    <row r="74">
      <c r="F74">
        <f>IF(E74="","",IFERROR(VLOOKUP(E74,'Hesap Planı'!$A$5:$B$22,2,FALSE),"HESAP PLANINDA YOK"))</f>
        <v/>
      </c>
    </row>
    <row r="75">
      <c r="F75">
        <f>IF(E75="","",IFERROR(VLOOKUP(E75,'Hesap Planı'!$A$5:$B$22,2,FALSE),"HESAP PLANINDA YOK"))</f>
        <v/>
      </c>
    </row>
    <row r="76">
      <c r="F76">
        <f>IF(E76="","",IFERROR(VLOOKUP(E76,'Hesap Planı'!$A$5:$B$22,2,FALSE),"HESAP PLANINDA YOK"))</f>
        <v/>
      </c>
    </row>
    <row r="77">
      <c r="F77">
        <f>IF(E77="","",IFERROR(VLOOKUP(E77,'Hesap Planı'!$A$5:$B$22,2,FALSE),"HESAP PLANINDA YOK"))</f>
        <v/>
      </c>
    </row>
    <row r="78">
      <c r="F78">
        <f>IF(E78="","",IFERROR(VLOOKUP(E78,'Hesap Planı'!$A$5:$B$22,2,FALSE),"HESAP PLANINDA YOK"))</f>
        <v/>
      </c>
    </row>
    <row r="79">
      <c r="F79">
        <f>IF(E79="","",IFERROR(VLOOKUP(E79,'Hesap Planı'!$A$5:$B$22,2,FALSE),"HESAP PLANINDA YOK"))</f>
        <v/>
      </c>
    </row>
    <row r="80">
      <c r="F80">
        <f>IF(E80="","",IFERROR(VLOOKUP(E80,'Hesap Planı'!$A$5:$B$22,2,FALSE),"HESAP PLANINDA YOK"))</f>
        <v/>
      </c>
    </row>
    <row r="81">
      <c r="F81">
        <f>IF(E81="","",IFERROR(VLOOKUP(E81,'Hesap Planı'!$A$5:$B$22,2,FALSE),"HESAP PLANINDA YOK"))</f>
        <v/>
      </c>
    </row>
    <row r="82">
      <c r="F82">
        <f>IF(E82="","",IFERROR(VLOOKUP(E82,'Hesap Planı'!$A$5:$B$22,2,FALSE),"HESAP PLANINDA YOK"))</f>
        <v/>
      </c>
    </row>
    <row r="83">
      <c r="F83">
        <f>IF(E83="","",IFERROR(VLOOKUP(E83,'Hesap Planı'!$A$5:$B$22,2,FALSE),"HESAP PLANINDA YOK"))</f>
        <v/>
      </c>
    </row>
    <row r="84">
      <c r="F84">
        <f>IF(E84="","",IFERROR(VLOOKUP(E84,'Hesap Planı'!$A$5:$B$22,2,FALSE),"HESAP PLANINDA YOK"))</f>
        <v/>
      </c>
    </row>
    <row r="85">
      <c r="F85">
        <f>IF(E85="","",IFERROR(VLOOKUP(E85,'Hesap Planı'!$A$5:$B$22,2,FALSE),"HESAP PLANINDA YOK"))</f>
        <v/>
      </c>
    </row>
    <row r="86">
      <c r="F86">
        <f>IF(E86="","",IFERROR(VLOOKUP(E86,'Hesap Planı'!$A$5:$B$22,2,FALSE),"HESAP PLANINDA YOK"))</f>
        <v/>
      </c>
    </row>
    <row r="87">
      <c r="F87">
        <f>IF(E87="","",IFERROR(VLOOKUP(E87,'Hesap Planı'!$A$5:$B$22,2,FALSE),"HESAP PLANINDA YOK"))</f>
        <v/>
      </c>
    </row>
    <row r="88">
      <c r="F88">
        <f>IF(E88="","",IFERROR(VLOOKUP(E88,'Hesap Planı'!$A$5:$B$22,2,FALSE),"HESAP PLANINDA YOK"))</f>
        <v/>
      </c>
    </row>
    <row r="89">
      <c r="F89">
        <f>IF(E89="","",IFERROR(VLOOKUP(E89,'Hesap Planı'!$A$5:$B$22,2,FALSE),"HESAP PLANINDA YOK"))</f>
        <v/>
      </c>
    </row>
    <row r="90">
      <c r="F90">
        <f>IF(E90="","",IFERROR(VLOOKUP(E90,'Hesap Planı'!$A$5:$B$22,2,FALSE),"HESAP PLANINDA YOK"))</f>
        <v/>
      </c>
    </row>
    <row r="91">
      <c r="F91">
        <f>IF(E91="","",IFERROR(VLOOKUP(E91,'Hesap Planı'!$A$5:$B$22,2,FALSE),"HESAP PLANINDA YOK"))</f>
        <v/>
      </c>
    </row>
    <row r="92">
      <c r="F92">
        <f>IF(E92="","",IFERROR(VLOOKUP(E92,'Hesap Planı'!$A$5:$B$22,2,FALSE),"HESAP PLANINDA YOK"))</f>
        <v/>
      </c>
    </row>
    <row r="93">
      <c r="F93">
        <f>IF(E93="","",IFERROR(VLOOKUP(E93,'Hesap Planı'!$A$5:$B$22,2,FALSE),"HESAP PLANINDA YOK"))</f>
        <v/>
      </c>
    </row>
    <row r="94">
      <c r="F94">
        <f>IF(E94="","",IFERROR(VLOOKUP(E94,'Hesap Planı'!$A$5:$B$22,2,FALSE),"HESAP PLANINDA YOK"))</f>
        <v/>
      </c>
    </row>
    <row r="95">
      <c r="F95">
        <f>IF(E95="","",IFERROR(VLOOKUP(E95,'Hesap Planı'!$A$5:$B$22,2,FALSE),"HESAP PLANINDA YOK"))</f>
        <v/>
      </c>
    </row>
    <row r="96">
      <c r="F96">
        <f>IF(E96="","",IFERROR(VLOOKUP(E96,'Hesap Planı'!$A$5:$B$22,2,FALSE),"HESAP PLANINDA YOK"))</f>
        <v/>
      </c>
    </row>
    <row r="97">
      <c r="F97">
        <f>IF(E97="","",IFERROR(VLOOKUP(E97,'Hesap Planı'!$A$5:$B$22,2,FALSE),"HESAP PLANINDA YOK"))</f>
        <v/>
      </c>
    </row>
    <row r="98">
      <c r="F98">
        <f>IF(E98="","",IFERROR(VLOOKUP(E98,'Hesap Planı'!$A$5:$B$22,2,FALSE),"HESAP PLANINDA YOK"))</f>
        <v/>
      </c>
    </row>
    <row r="99">
      <c r="F99">
        <f>IF(E99="","",IFERROR(VLOOKUP(E99,'Hesap Planı'!$A$5:$B$22,2,FALSE),"HESAP PLANINDA YOK"))</f>
        <v/>
      </c>
    </row>
    <row r="100">
      <c r="F100">
        <f>IF(E100="","",IFERROR(VLOOKUP(E100,'Hesap Planı'!$A$5:$B$22,2,FALSE),"HESAP PLANINDA YOK"))</f>
        <v/>
      </c>
    </row>
    <row r="101">
      <c r="F101">
        <f>IF(E101="","",IFERROR(VLOOKUP(E101,'Hesap Planı'!$A$5:$B$22,2,FALSE),"HESAP PLANINDA YOK"))</f>
        <v/>
      </c>
    </row>
    <row r="102">
      <c r="F102">
        <f>IF(E102="","",IFERROR(VLOOKUP(E102,'Hesap Planı'!$A$5:$B$22,2,FALSE),"HESAP PLANINDA YOK"))</f>
        <v/>
      </c>
    </row>
    <row r="103">
      <c r="F103">
        <f>IF(E103="","",IFERROR(VLOOKUP(E103,'Hesap Planı'!$A$5:$B$22,2,FALSE),"HESAP PLANINDA YOK"))</f>
        <v/>
      </c>
    </row>
    <row r="104">
      <c r="F104">
        <f>IF(E104="","",IFERROR(VLOOKUP(E104,'Hesap Planı'!$A$5:$B$22,2,FALSE),"HESAP PLANINDA YOK"))</f>
        <v/>
      </c>
    </row>
    <row r="105">
      <c r="F105">
        <f>IF(E105="","",IFERROR(VLOOKUP(E105,'Hesap Planı'!$A$5:$B$22,2,FALSE),"HESAP PLANINDA YOK"))</f>
        <v/>
      </c>
    </row>
    <row r="106">
      <c r="F106">
        <f>IF(E106="","",IFERROR(VLOOKUP(E106,'Hesap Planı'!$A$5:$B$22,2,FALSE),"HESAP PLANINDA YOK"))</f>
        <v/>
      </c>
    </row>
    <row r="107">
      <c r="F107">
        <f>IF(E107="","",IFERROR(VLOOKUP(E107,'Hesap Planı'!$A$5:$B$22,2,FALSE),"HESAP PLANINDA YOK"))</f>
        <v/>
      </c>
    </row>
    <row r="108">
      <c r="F108">
        <f>IF(E108="","",IFERROR(VLOOKUP(E108,'Hesap Planı'!$A$5:$B$22,2,FALSE),"HESAP PLANINDA YOK"))</f>
        <v/>
      </c>
    </row>
    <row r="109">
      <c r="F109">
        <f>IF(E109="","",IFERROR(VLOOKUP(E109,'Hesap Planı'!$A$5:$B$22,2,FALSE),"HESAP PLANINDA YOK"))</f>
        <v/>
      </c>
    </row>
    <row r="110">
      <c r="F110">
        <f>IF(E110="","",IFERROR(VLOOKUP(E110,'Hesap Planı'!$A$5:$B$22,2,FALSE),"HESAP PLANINDA YOK"))</f>
        <v/>
      </c>
    </row>
    <row r="111">
      <c r="F111">
        <f>IF(E111="","",IFERROR(VLOOKUP(E111,'Hesap Planı'!$A$5:$B$22,2,FALSE),"HESAP PLANINDA YOK"))</f>
        <v/>
      </c>
    </row>
    <row r="112">
      <c r="F112">
        <f>IF(E112="","",IFERROR(VLOOKUP(E112,'Hesap Planı'!$A$5:$B$22,2,FALSE),"HESAP PLANINDA YOK"))</f>
        <v/>
      </c>
    </row>
    <row r="113">
      <c r="F113">
        <f>IF(E113="","",IFERROR(VLOOKUP(E113,'Hesap Planı'!$A$5:$B$22,2,FALSE),"HESAP PLANINDA YOK"))</f>
        <v/>
      </c>
    </row>
    <row r="114">
      <c r="F114">
        <f>IF(E114="","",IFERROR(VLOOKUP(E114,'Hesap Planı'!$A$5:$B$22,2,FALSE),"HESAP PLANINDA YOK"))</f>
        <v/>
      </c>
    </row>
    <row r="115">
      <c r="F115">
        <f>IF(E115="","",IFERROR(VLOOKUP(E115,'Hesap Planı'!$A$5:$B$22,2,FALSE),"HESAP PLANINDA YOK"))</f>
        <v/>
      </c>
    </row>
    <row r="116">
      <c r="F116">
        <f>IF(E116="","",IFERROR(VLOOKUP(E116,'Hesap Planı'!$A$5:$B$22,2,FALSE),"HESAP PLANINDA YOK"))</f>
        <v/>
      </c>
    </row>
    <row r="117">
      <c r="F117">
        <f>IF(E117="","",IFERROR(VLOOKUP(E117,'Hesap Planı'!$A$5:$B$22,2,FALSE),"HESAP PLANINDA YOK"))</f>
        <v/>
      </c>
    </row>
    <row r="118">
      <c r="F118">
        <f>IF(E118="","",IFERROR(VLOOKUP(E118,'Hesap Planı'!$A$5:$B$22,2,FALSE),"HESAP PLANINDA YOK"))</f>
        <v/>
      </c>
    </row>
    <row r="119">
      <c r="F119">
        <f>IF(E119="","",IFERROR(VLOOKUP(E119,'Hesap Planı'!$A$5:$B$22,2,FALSE),"HESAP PLANINDA YOK"))</f>
        <v/>
      </c>
    </row>
    <row r="120">
      <c r="F120">
        <f>IF(E120="","",IFERROR(VLOOKUP(E120,'Hesap Planı'!$A$5:$B$22,2,FALSE),"HESAP PLANINDA YOK"))</f>
        <v/>
      </c>
    </row>
    <row r="121">
      <c r="F121">
        <f>IF(E121="","",IFERROR(VLOOKUP(E121,'Hesap Planı'!$A$5:$B$22,2,FALSE),"HESAP PLANINDA YOK"))</f>
        <v/>
      </c>
    </row>
    <row r="122">
      <c r="F122">
        <f>IF(E122="","",IFERROR(VLOOKUP(E122,'Hesap Planı'!$A$5:$B$22,2,FALSE),"HESAP PLANINDA YOK"))</f>
        <v/>
      </c>
    </row>
    <row r="123">
      <c r="F123">
        <f>IF(E123="","",IFERROR(VLOOKUP(E123,'Hesap Planı'!$A$5:$B$22,2,FALSE),"HESAP PLANINDA YOK"))</f>
        <v/>
      </c>
    </row>
    <row r="124">
      <c r="F124">
        <f>IF(E124="","",IFERROR(VLOOKUP(E124,'Hesap Planı'!$A$5:$B$22,2,FALSE),"HESAP PLANINDA YOK"))</f>
        <v/>
      </c>
    </row>
    <row r="125">
      <c r="F125">
        <f>IF(E125="","",IFERROR(VLOOKUP(E125,'Hesap Planı'!$A$5:$B$22,2,FALSE),"HESAP PLANINDA YOK"))</f>
        <v/>
      </c>
    </row>
    <row r="126">
      <c r="F126">
        <f>IF(E126="","",IFERROR(VLOOKUP(E126,'Hesap Planı'!$A$5:$B$22,2,FALSE),"HESAP PLANINDA YOK"))</f>
        <v/>
      </c>
    </row>
    <row r="127">
      <c r="F127">
        <f>IF(E127="","",IFERROR(VLOOKUP(E127,'Hesap Planı'!$A$5:$B$22,2,FALSE),"HESAP PLANINDA YOK"))</f>
        <v/>
      </c>
    </row>
    <row r="128">
      <c r="F128">
        <f>IF(E128="","",IFERROR(VLOOKUP(E128,'Hesap Planı'!$A$5:$B$22,2,FALSE),"HESAP PLANINDA YOK"))</f>
        <v/>
      </c>
    </row>
    <row r="129">
      <c r="F129">
        <f>IF(E129="","",IFERROR(VLOOKUP(E129,'Hesap Planı'!$A$5:$B$22,2,FALSE),"HESAP PLANINDA YOK"))</f>
        <v/>
      </c>
    </row>
    <row r="130">
      <c r="F130">
        <f>IF(E130="","",IFERROR(VLOOKUP(E130,'Hesap Planı'!$A$5:$B$22,2,FALSE),"HESAP PLANINDA YOK"))</f>
        <v/>
      </c>
    </row>
    <row r="131">
      <c r="F131">
        <f>IF(E131="","",IFERROR(VLOOKUP(E131,'Hesap Planı'!$A$5:$B$22,2,FALSE),"HESAP PLANINDA YOK"))</f>
        <v/>
      </c>
    </row>
    <row r="132">
      <c r="F132">
        <f>IF(E132="","",IFERROR(VLOOKUP(E132,'Hesap Planı'!$A$5:$B$22,2,FALSE),"HESAP PLANINDA YOK"))</f>
        <v/>
      </c>
    </row>
    <row r="133">
      <c r="F133">
        <f>IF(E133="","",IFERROR(VLOOKUP(E133,'Hesap Planı'!$A$5:$B$22,2,FALSE),"HESAP PLANINDA YOK"))</f>
        <v/>
      </c>
    </row>
    <row r="134">
      <c r="F134">
        <f>IF(E134="","",IFERROR(VLOOKUP(E134,'Hesap Planı'!$A$5:$B$22,2,FALSE),"HESAP PLANINDA YOK"))</f>
        <v/>
      </c>
    </row>
    <row r="135">
      <c r="F135">
        <f>IF(E135="","",IFERROR(VLOOKUP(E135,'Hesap Planı'!$A$5:$B$22,2,FALSE),"HESAP PLANINDA YOK"))</f>
        <v/>
      </c>
    </row>
    <row r="136">
      <c r="F136">
        <f>IF(E136="","",IFERROR(VLOOKUP(E136,'Hesap Planı'!$A$5:$B$22,2,FALSE),"HESAP PLANINDA YOK"))</f>
        <v/>
      </c>
    </row>
    <row r="137">
      <c r="F137">
        <f>IF(E137="","",IFERROR(VLOOKUP(E137,'Hesap Planı'!$A$5:$B$22,2,FALSE),"HESAP PLANINDA YOK"))</f>
        <v/>
      </c>
    </row>
    <row r="138">
      <c r="F138">
        <f>IF(E138="","",IFERROR(VLOOKUP(E138,'Hesap Planı'!$A$5:$B$22,2,FALSE),"HESAP PLANINDA YOK"))</f>
        <v/>
      </c>
    </row>
    <row r="139">
      <c r="F139">
        <f>IF(E139="","",IFERROR(VLOOKUP(E139,'Hesap Planı'!$A$5:$B$22,2,FALSE),"HESAP PLANINDA YOK"))</f>
        <v/>
      </c>
    </row>
    <row r="140">
      <c r="F140">
        <f>IF(E140="","",IFERROR(VLOOKUP(E140,'Hesap Planı'!$A$5:$B$22,2,FALSE),"HESAP PLANINDA YOK"))</f>
        <v/>
      </c>
    </row>
    <row r="141">
      <c r="F141">
        <f>IF(E141="","",IFERROR(VLOOKUP(E141,'Hesap Planı'!$A$5:$B$22,2,FALSE),"HESAP PLANINDA YOK"))</f>
        <v/>
      </c>
    </row>
    <row r="142">
      <c r="F142">
        <f>IF(E142="","",IFERROR(VLOOKUP(E142,'Hesap Planı'!$A$5:$B$22,2,FALSE),"HESAP PLANINDA YOK"))</f>
        <v/>
      </c>
    </row>
    <row r="143">
      <c r="F143">
        <f>IF(E143="","",IFERROR(VLOOKUP(E143,'Hesap Planı'!$A$5:$B$22,2,FALSE),"HESAP PLANINDA YOK"))</f>
        <v/>
      </c>
    </row>
    <row r="144">
      <c r="F144">
        <f>IF(E144="","",IFERROR(VLOOKUP(E144,'Hesap Planı'!$A$5:$B$22,2,FALSE),"HESAP PLANINDA YOK"))</f>
        <v/>
      </c>
    </row>
    <row r="145">
      <c r="F145">
        <f>IF(E145="","",IFERROR(VLOOKUP(E145,'Hesap Planı'!$A$5:$B$22,2,FALSE),"HESAP PLANINDA YOK"))</f>
        <v/>
      </c>
    </row>
    <row r="146">
      <c r="F146">
        <f>IF(E146="","",IFERROR(VLOOKUP(E146,'Hesap Planı'!$A$5:$B$22,2,FALSE),"HESAP PLANINDA YOK"))</f>
        <v/>
      </c>
    </row>
    <row r="147">
      <c r="F147">
        <f>IF(E147="","",IFERROR(VLOOKUP(E147,'Hesap Planı'!$A$5:$B$22,2,FALSE),"HESAP PLANINDA YOK"))</f>
        <v/>
      </c>
    </row>
    <row r="148">
      <c r="F148">
        <f>IF(E148="","",IFERROR(VLOOKUP(E148,'Hesap Planı'!$A$5:$B$22,2,FALSE),"HESAP PLANINDA YOK"))</f>
        <v/>
      </c>
    </row>
    <row r="149">
      <c r="F149">
        <f>IF(E149="","",IFERROR(VLOOKUP(E149,'Hesap Planı'!$A$5:$B$22,2,FALSE),"HESAP PLANINDA YOK"))</f>
        <v/>
      </c>
    </row>
    <row r="150">
      <c r="F150">
        <f>IF(E150="","",IFERROR(VLOOKUP(E150,'Hesap Planı'!$A$5:$B$22,2,FALSE),"HESAP PLANINDA YOK"))</f>
        <v/>
      </c>
    </row>
    <row r="151">
      <c r="F151">
        <f>IF(E151="","",IFERROR(VLOOKUP(E151,'Hesap Planı'!$A$5:$B$22,2,FALSE),"HESAP PLANINDA YOK"))</f>
        <v/>
      </c>
    </row>
    <row r="152">
      <c r="F152">
        <f>IF(E152="","",IFERROR(VLOOKUP(E152,'Hesap Planı'!$A$5:$B$22,2,FALSE),"HESAP PLANINDA YOK"))</f>
        <v/>
      </c>
    </row>
    <row r="153">
      <c r="F153">
        <f>IF(E153="","",IFERROR(VLOOKUP(E153,'Hesap Planı'!$A$5:$B$22,2,FALSE),"HESAP PLANINDA YOK"))</f>
        <v/>
      </c>
    </row>
    <row r="154">
      <c r="F154">
        <f>IF(E154="","",IFERROR(VLOOKUP(E154,'Hesap Planı'!$A$5:$B$22,2,FALSE),"HESAP PLANINDA YOK"))</f>
        <v/>
      </c>
    </row>
    <row r="155">
      <c r="F155">
        <f>IF(E155="","",IFERROR(VLOOKUP(E155,'Hesap Planı'!$A$5:$B$22,2,FALSE),"HESAP PLANINDA YOK"))</f>
        <v/>
      </c>
    </row>
    <row r="156">
      <c r="F156">
        <f>IF(E156="","",IFERROR(VLOOKUP(E156,'Hesap Planı'!$A$5:$B$22,2,FALSE),"HESAP PLANINDA YOK"))</f>
        <v/>
      </c>
    </row>
    <row r="157">
      <c r="F157">
        <f>IF(E157="","",IFERROR(VLOOKUP(E157,'Hesap Planı'!$A$5:$B$22,2,FALSE),"HESAP PLANINDA YOK"))</f>
        <v/>
      </c>
    </row>
    <row r="158">
      <c r="F158">
        <f>IF(E158="","",IFERROR(VLOOKUP(E158,'Hesap Planı'!$A$5:$B$22,2,FALSE),"HESAP PLANINDA YOK"))</f>
        <v/>
      </c>
    </row>
    <row r="159">
      <c r="F159">
        <f>IF(E159="","",IFERROR(VLOOKUP(E159,'Hesap Planı'!$A$5:$B$22,2,FALSE),"HESAP PLANINDA YOK"))</f>
        <v/>
      </c>
    </row>
    <row r="160">
      <c r="F160">
        <f>IF(E160="","",IFERROR(VLOOKUP(E160,'Hesap Planı'!$A$5:$B$22,2,FALSE),"HESAP PLANINDA YOK"))</f>
        <v/>
      </c>
    </row>
    <row r="161">
      <c r="F161">
        <f>IF(E161="","",IFERROR(VLOOKUP(E161,'Hesap Planı'!$A$5:$B$22,2,FALSE),"HESAP PLANINDA YOK"))</f>
        <v/>
      </c>
    </row>
    <row r="162">
      <c r="F162">
        <f>IF(E162="","",IFERROR(VLOOKUP(E162,'Hesap Planı'!$A$5:$B$22,2,FALSE),"HESAP PLANINDA YOK"))</f>
        <v/>
      </c>
    </row>
    <row r="163">
      <c r="F163">
        <f>IF(E163="","",IFERROR(VLOOKUP(E163,'Hesap Planı'!$A$5:$B$22,2,FALSE),"HESAP PLANINDA YOK"))</f>
        <v/>
      </c>
    </row>
    <row r="164">
      <c r="F164">
        <f>IF(E164="","",IFERROR(VLOOKUP(E164,'Hesap Planı'!$A$5:$B$22,2,FALSE),"HESAP PLANINDA YOK"))</f>
        <v/>
      </c>
    </row>
    <row r="165">
      <c r="F165">
        <f>IF(E165="","",IFERROR(VLOOKUP(E165,'Hesap Planı'!$A$5:$B$22,2,FALSE),"HESAP PLANINDA YOK"))</f>
        <v/>
      </c>
    </row>
    <row r="166">
      <c r="F166">
        <f>IF(E166="","",IFERROR(VLOOKUP(E166,'Hesap Planı'!$A$5:$B$22,2,FALSE),"HESAP PLANINDA YOK"))</f>
        <v/>
      </c>
    </row>
    <row r="167">
      <c r="F167">
        <f>IF(E167="","",IFERROR(VLOOKUP(E167,'Hesap Planı'!$A$5:$B$22,2,FALSE),"HESAP PLANINDA YOK"))</f>
        <v/>
      </c>
    </row>
    <row r="168">
      <c r="F168">
        <f>IF(E168="","",IFERROR(VLOOKUP(E168,'Hesap Planı'!$A$5:$B$22,2,FALSE),"HESAP PLANINDA YOK"))</f>
        <v/>
      </c>
    </row>
    <row r="169">
      <c r="F169">
        <f>IF(E169="","",IFERROR(VLOOKUP(E169,'Hesap Planı'!$A$5:$B$22,2,FALSE),"HESAP PLANINDA YOK"))</f>
        <v/>
      </c>
    </row>
    <row r="170">
      <c r="F170">
        <f>IF(E170="","",IFERROR(VLOOKUP(E170,'Hesap Planı'!$A$5:$B$22,2,FALSE),"HESAP PLANINDA YOK"))</f>
        <v/>
      </c>
    </row>
    <row r="171">
      <c r="F171">
        <f>IF(E171="","",IFERROR(VLOOKUP(E171,'Hesap Planı'!$A$5:$B$22,2,FALSE),"HESAP PLANINDA YOK"))</f>
        <v/>
      </c>
    </row>
    <row r="172">
      <c r="F172">
        <f>IF(E172="","",IFERROR(VLOOKUP(E172,'Hesap Planı'!$A$5:$B$22,2,FALSE),"HESAP PLANINDA YOK"))</f>
        <v/>
      </c>
    </row>
    <row r="173">
      <c r="F173">
        <f>IF(E173="","",IFERROR(VLOOKUP(E173,'Hesap Planı'!$A$5:$B$22,2,FALSE),"HESAP PLANINDA YOK"))</f>
        <v/>
      </c>
    </row>
    <row r="174">
      <c r="F174">
        <f>IF(E174="","",IFERROR(VLOOKUP(E174,'Hesap Planı'!$A$5:$B$22,2,FALSE),"HESAP PLANINDA YOK"))</f>
        <v/>
      </c>
    </row>
    <row r="175">
      <c r="F175">
        <f>IF(E175="","",IFERROR(VLOOKUP(E175,'Hesap Planı'!$A$5:$B$22,2,FALSE),"HESAP PLANINDA YOK"))</f>
        <v/>
      </c>
    </row>
    <row r="176">
      <c r="F176">
        <f>IF(E176="","",IFERROR(VLOOKUP(E176,'Hesap Planı'!$A$5:$B$22,2,FALSE),"HESAP PLANINDA YOK"))</f>
        <v/>
      </c>
    </row>
    <row r="177">
      <c r="F177">
        <f>IF(E177="","",IFERROR(VLOOKUP(E177,'Hesap Planı'!$A$5:$B$22,2,FALSE),"HESAP PLANINDA YOK"))</f>
        <v/>
      </c>
    </row>
    <row r="178">
      <c r="F178">
        <f>IF(E178="","",IFERROR(VLOOKUP(E178,'Hesap Planı'!$A$5:$B$22,2,FALSE),"HESAP PLANINDA YOK"))</f>
        <v/>
      </c>
    </row>
    <row r="179">
      <c r="F179">
        <f>IF(E179="","",IFERROR(VLOOKUP(E179,'Hesap Planı'!$A$5:$B$22,2,FALSE),"HESAP PLANINDA YOK"))</f>
        <v/>
      </c>
    </row>
    <row r="180">
      <c r="F180">
        <f>IF(E180="","",IFERROR(VLOOKUP(E180,'Hesap Planı'!$A$5:$B$22,2,FALSE),"HESAP PLANINDA YOK"))</f>
        <v/>
      </c>
    </row>
    <row r="181">
      <c r="F181">
        <f>IF(E181="","",IFERROR(VLOOKUP(E181,'Hesap Planı'!$A$5:$B$22,2,FALSE),"HESAP PLANINDA YOK"))</f>
        <v/>
      </c>
    </row>
    <row r="182">
      <c r="F182">
        <f>IF(E182="","",IFERROR(VLOOKUP(E182,'Hesap Planı'!$A$5:$B$22,2,FALSE),"HESAP PLANINDA YOK"))</f>
        <v/>
      </c>
    </row>
    <row r="183">
      <c r="F183">
        <f>IF(E183="","",IFERROR(VLOOKUP(E183,'Hesap Planı'!$A$5:$B$22,2,FALSE),"HESAP PLANINDA YOK"))</f>
        <v/>
      </c>
    </row>
    <row r="184">
      <c r="F184">
        <f>IF(E184="","",IFERROR(VLOOKUP(E184,'Hesap Planı'!$A$5:$B$22,2,FALSE),"HESAP PLANINDA YOK"))</f>
        <v/>
      </c>
    </row>
    <row r="185">
      <c r="F185">
        <f>IF(E185="","",IFERROR(VLOOKUP(E185,'Hesap Planı'!$A$5:$B$22,2,FALSE),"HESAP PLANINDA YOK"))</f>
        <v/>
      </c>
    </row>
    <row r="186">
      <c r="F186">
        <f>IF(E186="","",IFERROR(VLOOKUP(E186,'Hesap Planı'!$A$5:$B$22,2,FALSE),"HESAP PLANINDA YOK"))</f>
        <v/>
      </c>
    </row>
    <row r="187">
      <c r="F187">
        <f>IF(E187="","",IFERROR(VLOOKUP(E187,'Hesap Planı'!$A$5:$B$22,2,FALSE),"HESAP PLANINDA YOK"))</f>
        <v/>
      </c>
    </row>
    <row r="188">
      <c r="F188">
        <f>IF(E188="","",IFERROR(VLOOKUP(E188,'Hesap Planı'!$A$5:$B$22,2,FALSE),"HESAP PLANINDA YOK"))</f>
        <v/>
      </c>
    </row>
    <row r="189">
      <c r="F189">
        <f>IF(E189="","",IFERROR(VLOOKUP(E189,'Hesap Planı'!$A$5:$B$22,2,FALSE),"HESAP PLANINDA YOK"))</f>
        <v/>
      </c>
    </row>
    <row r="190">
      <c r="F190">
        <f>IF(E190="","",IFERROR(VLOOKUP(E190,'Hesap Planı'!$A$5:$B$22,2,FALSE),"HESAP PLANINDA YOK"))</f>
        <v/>
      </c>
    </row>
    <row r="191">
      <c r="F191">
        <f>IF(E191="","",IFERROR(VLOOKUP(E191,'Hesap Planı'!$A$5:$B$22,2,FALSE),"HESAP PLANINDA YOK"))</f>
        <v/>
      </c>
    </row>
    <row r="192">
      <c r="F192">
        <f>IF(E192="","",IFERROR(VLOOKUP(E192,'Hesap Planı'!$A$5:$B$22,2,FALSE),"HESAP PLANINDA YOK"))</f>
        <v/>
      </c>
    </row>
    <row r="193">
      <c r="F193">
        <f>IF(E193="","",IFERROR(VLOOKUP(E193,'Hesap Planı'!$A$5:$B$22,2,FALSE),"HESAP PLANINDA YOK"))</f>
        <v/>
      </c>
    </row>
    <row r="194">
      <c r="F194">
        <f>IF(E194="","",IFERROR(VLOOKUP(E194,'Hesap Planı'!$A$5:$B$22,2,FALSE),"HESAP PLANINDA YOK"))</f>
        <v/>
      </c>
    </row>
    <row r="195">
      <c r="F195">
        <f>IF(E195="","",IFERROR(VLOOKUP(E195,'Hesap Planı'!$A$5:$B$22,2,FALSE),"HESAP PLANINDA YOK"))</f>
        <v/>
      </c>
    </row>
    <row r="196">
      <c r="F196">
        <f>IF(E196="","",IFERROR(VLOOKUP(E196,'Hesap Planı'!$A$5:$B$22,2,FALSE),"HESAP PLANINDA YOK"))</f>
        <v/>
      </c>
    </row>
    <row r="197">
      <c r="F197">
        <f>IF(E197="","",IFERROR(VLOOKUP(E197,'Hesap Planı'!$A$5:$B$22,2,FALSE),"HESAP PLANINDA YOK"))</f>
        <v/>
      </c>
    </row>
    <row r="198">
      <c r="F198">
        <f>IF(E198="","",IFERROR(VLOOKUP(E198,'Hesap Planı'!$A$5:$B$22,2,FALSE),"HESAP PLANINDA YOK"))</f>
        <v/>
      </c>
    </row>
    <row r="199">
      <c r="F199">
        <f>IF(E199="","",IFERROR(VLOOKUP(E199,'Hesap Planı'!$A$5:$B$22,2,FALSE),"HESAP PLANINDA YOK"))</f>
        <v/>
      </c>
    </row>
    <row r="200">
      <c r="F200">
        <f>IF(E200="","",IFERROR(VLOOKUP(E200,'Hesap Planı'!$A$5:$B$22,2,FALSE),"HESAP PLANINDA YOK"))</f>
        <v/>
      </c>
    </row>
    <row r="201">
      <c r="F201" s="8" t="inlineStr">
        <is>
          <t>TOPLAM</t>
        </is>
      </c>
      <c r="G201" s="9">
        <f>SUM(G5:G200)</f>
        <v/>
      </c>
      <c r="H201" s="9">
        <f>SUM(H5:H200)</f>
        <v/>
      </c>
      <c r="I201" s="10">
        <f>IF(ROUND(G201-H201,2)=0,"DENK","DENK DEĞİL")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Mizan — 31.01.2026</t>
        </is>
      </c>
    </row>
    <row r="2">
      <c r="A2" s="2" t="inlineStr">
        <is>
          <t>Toplamlar Yevmiye sayfasından SUMIF ile gelir. Borç toplamı = alacak toplamı ve borç kalanı = alacak kalanı olmalıdır.</t>
        </is>
      </c>
    </row>
    <row r="4">
      <c r="A4" s="4" t="inlineStr">
        <is>
          <t>Kod</t>
        </is>
      </c>
      <c r="B4" s="4" t="inlineStr">
        <is>
          <t>Hesap adı</t>
        </is>
      </c>
      <c r="C4" s="4" t="inlineStr">
        <is>
          <t>Borç toplamı</t>
        </is>
      </c>
      <c r="D4" s="4" t="inlineStr">
        <is>
          <t>Alacak toplamı</t>
        </is>
      </c>
      <c r="E4" s="4" t="inlineStr">
        <is>
          <t>Borç kalanı</t>
        </is>
      </c>
      <c r="F4" s="4" t="inlineStr">
        <is>
          <t>Alacak kalanı</t>
        </is>
      </c>
    </row>
    <row r="5">
      <c r="A5" t="n">
        <v>100</v>
      </c>
      <c r="B5" t="inlineStr">
        <is>
          <t>Kasa</t>
        </is>
      </c>
      <c r="C5" s="11">
        <f>SUMIF(Yevmiye!$E$5:$E$200,A5,Yevmiye!$G$5:$G$200)</f>
        <v/>
      </c>
      <c r="D5" s="11">
        <f>SUMIF(Yevmiye!$E$5:$E$200,A5,Yevmiye!$H$5:$H$200)</f>
        <v/>
      </c>
      <c r="E5" s="11">
        <f>MAX(C5-D5,0)</f>
        <v/>
      </c>
      <c r="F5" s="11">
        <f>MAX(D5-C5,0)</f>
        <v/>
      </c>
    </row>
    <row r="6">
      <c r="A6" t="n">
        <v>102</v>
      </c>
      <c r="B6" t="inlineStr">
        <is>
          <t>Bankalar</t>
        </is>
      </c>
      <c r="C6" s="11">
        <f>SUMIF(Yevmiye!$E$5:$E$200,A6,Yevmiye!$G$5:$G$200)</f>
        <v/>
      </c>
      <c r="D6" s="11">
        <f>SUMIF(Yevmiye!$E$5:$E$200,A6,Yevmiye!$H$5:$H$200)</f>
        <v/>
      </c>
      <c r="E6" s="11">
        <f>MAX(C6-D6,0)</f>
        <v/>
      </c>
      <c r="F6" s="11">
        <f>MAX(D6-C6,0)</f>
        <v/>
      </c>
    </row>
    <row r="7">
      <c r="A7" t="n">
        <v>120</v>
      </c>
      <c r="B7" t="inlineStr">
        <is>
          <t>Alıcılar</t>
        </is>
      </c>
      <c r="C7" s="11">
        <f>SUMIF(Yevmiye!$E$5:$E$200,A7,Yevmiye!$G$5:$G$200)</f>
        <v/>
      </c>
      <c r="D7" s="11">
        <f>SUMIF(Yevmiye!$E$5:$E$200,A7,Yevmiye!$H$5:$H$200)</f>
        <v/>
      </c>
      <c r="E7" s="11">
        <f>MAX(C7-D7,0)</f>
        <v/>
      </c>
      <c r="F7" s="11">
        <f>MAX(D7-C7,0)</f>
        <v/>
      </c>
    </row>
    <row r="8">
      <c r="A8" t="n">
        <v>153</v>
      </c>
      <c r="B8" t="inlineStr">
        <is>
          <t>Ticari Mallar</t>
        </is>
      </c>
      <c r="C8" s="11">
        <f>SUMIF(Yevmiye!$E$5:$E$200,A8,Yevmiye!$G$5:$G$200)</f>
        <v/>
      </c>
      <c r="D8" s="11">
        <f>SUMIF(Yevmiye!$E$5:$E$200,A8,Yevmiye!$H$5:$H$200)</f>
        <v/>
      </c>
      <c r="E8" s="11">
        <f>MAX(C8-D8,0)</f>
        <v/>
      </c>
      <c r="F8" s="11">
        <f>MAX(D8-C8,0)</f>
        <v/>
      </c>
    </row>
    <row r="9">
      <c r="A9" t="n">
        <v>191</v>
      </c>
      <c r="B9" t="inlineStr">
        <is>
          <t>İndirilecek KDV</t>
        </is>
      </c>
      <c r="C9" s="11">
        <f>SUMIF(Yevmiye!$E$5:$E$200,A9,Yevmiye!$G$5:$G$200)</f>
        <v/>
      </c>
      <c r="D9" s="11">
        <f>SUMIF(Yevmiye!$E$5:$E$200,A9,Yevmiye!$H$5:$H$200)</f>
        <v/>
      </c>
      <c r="E9" s="11">
        <f>MAX(C9-D9,0)</f>
        <v/>
      </c>
      <c r="F9" s="11">
        <f>MAX(D9-C9,0)</f>
        <v/>
      </c>
    </row>
    <row r="10">
      <c r="A10" t="n">
        <v>255</v>
      </c>
      <c r="B10" t="inlineStr">
        <is>
          <t>Demirbaşlar</t>
        </is>
      </c>
      <c r="C10" s="11">
        <f>SUMIF(Yevmiye!$E$5:$E$200,A10,Yevmiye!$G$5:$G$200)</f>
        <v/>
      </c>
      <c r="D10" s="11">
        <f>SUMIF(Yevmiye!$E$5:$E$200,A10,Yevmiye!$H$5:$H$200)</f>
        <v/>
      </c>
      <c r="E10" s="11">
        <f>MAX(C10-D10,0)</f>
        <v/>
      </c>
      <c r="F10" s="11">
        <f>MAX(D10-C10,0)</f>
        <v/>
      </c>
    </row>
    <row r="11">
      <c r="A11" t="n">
        <v>257</v>
      </c>
      <c r="B11" t="inlineStr">
        <is>
          <t>Birikmiş Amortismanlar (-)</t>
        </is>
      </c>
      <c r="C11" s="11">
        <f>SUMIF(Yevmiye!$E$5:$E$200,A11,Yevmiye!$G$5:$G$200)</f>
        <v/>
      </c>
      <c r="D11" s="11">
        <f>SUMIF(Yevmiye!$E$5:$E$200,A11,Yevmiye!$H$5:$H$200)</f>
        <v/>
      </c>
      <c r="E11" s="11">
        <f>MAX(C11-D11,0)</f>
        <v/>
      </c>
      <c r="F11" s="11">
        <f>MAX(D11-C11,0)</f>
        <v/>
      </c>
    </row>
    <row r="12">
      <c r="A12" t="n">
        <v>320</v>
      </c>
      <c r="B12" t="inlineStr">
        <is>
          <t>Satıcılar</t>
        </is>
      </c>
      <c r="C12" s="11">
        <f>SUMIF(Yevmiye!$E$5:$E$200,A12,Yevmiye!$G$5:$G$200)</f>
        <v/>
      </c>
      <c r="D12" s="11">
        <f>SUMIF(Yevmiye!$E$5:$E$200,A12,Yevmiye!$H$5:$H$200)</f>
        <v/>
      </c>
      <c r="E12" s="11">
        <f>MAX(C12-D12,0)</f>
        <v/>
      </c>
      <c r="F12" s="11">
        <f>MAX(D12-C12,0)</f>
        <v/>
      </c>
    </row>
    <row r="13">
      <c r="A13" t="n">
        <v>360</v>
      </c>
      <c r="B13" t="inlineStr">
        <is>
          <t>Ödenecek Vergi ve Fonlar</t>
        </is>
      </c>
      <c r="C13" s="11">
        <f>SUMIF(Yevmiye!$E$5:$E$200,A13,Yevmiye!$G$5:$G$200)</f>
        <v/>
      </c>
      <c r="D13" s="11">
        <f>SUMIF(Yevmiye!$E$5:$E$200,A13,Yevmiye!$H$5:$H$200)</f>
        <v/>
      </c>
      <c r="E13" s="11">
        <f>MAX(C13-D13,0)</f>
        <v/>
      </c>
      <c r="F13" s="11">
        <f>MAX(D13-C13,0)</f>
        <v/>
      </c>
    </row>
    <row r="14">
      <c r="A14" t="n">
        <v>391</v>
      </c>
      <c r="B14" t="inlineStr">
        <is>
          <t>Hesaplanan KDV</t>
        </is>
      </c>
      <c r="C14" s="11">
        <f>SUMIF(Yevmiye!$E$5:$E$200,A14,Yevmiye!$G$5:$G$200)</f>
        <v/>
      </c>
      <c r="D14" s="11">
        <f>SUMIF(Yevmiye!$E$5:$E$200,A14,Yevmiye!$H$5:$H$200)</f>
        <v/>
      </c>
      <c r="E14" s="11">
        <f>MAX(C14-D14,0)</f>
        <v/>
      </c>
      <c r="F14" s="11">
        <f>MAX(D14-C14,0)</f>
        <v/>
      </c>
    </row>
    <row r="15">
      <c r="A15" t="n">
        <v>500</v>
      </c>
      <c r="B15" t="inlineStr">
        <is>
          <t>Sermaye</t>
        </is>
      </c>
      <c r="C15" s="11">
        <f>SUMIF(Yevmiye!$E$5:$E$200,A15,Yevmiye!$G$5:$G$200)</f>
        <v/>
      </c>
      <c r="D15" s="11">
        <f>SUMIF(Yevmiye!$E$5:$E$200,A15,Yevmiye!$H$5:$H$200)</f>
        <v/>
      </c>
      <c r="E15" s="11">
        <f>MAX(C15-D15,0)</f>
        <v/>
      </c>
      <c r="F15" s="11">
        <f>MAX(D15-C15,0)</f>
        <v/>
      </c>
    </row>
    <row r="16">
      <c r="A16" t="n">
        <v>600</v>
      </c>
      <c r="B16" t="inlineStr">
        <is>
          <t>Yurt İçi Satışlar</t>
        </is>
      </c>
      <c r="C16" s="11">
        <f>SUMIF(Yevmiye!$E$5:$E$200,A16,Yevmiye!$G$5:$G$200)</f>
        <v/>
      </c>
      <c r="D16" s="11">
        <f>SUMIF(Yevmiye!$E$5:$E$200,A16,Yevmiye!$H$5:$H$200)</f>
        <v/>
      </c>
      <c r="E16" s="11">
        <f>MAX(C16-D16,0)</f>
        <v/>
      </c>
      <c r="F16" s="11">
        <f>MAX(D16-C16,0)</f>
        <v/>
      </c>
    </row>
    <row r="17">
      <c r="A17" t="n">
        <v>621</v>
      </c>
      <c r="B17" t="inlineStr">
        <is>
          <t>Satılan Ticari Mallar Maliyeti (-)</t>
        </is>
      </c>
      <c r="C17" s="11">
        <f>SUMIF(Yevmiye!$E$5:$E$200,A17,Yevmiye!$G$5:$G$200)</f>
        <v/>
      </c>
      <c r="D17" s="11">
        <f>SUMIF(Yevmiye!$E$5:$E$200,A17,Yevmiye!$H$5:$H$200)</f>
        <v/>
      </c>
      <c r="E17" s="11">
        <f>MAX(C17-D17,0)</f>
        <v/>
      </c>
      <c r="F17" s="11">
        <f>MAX(D17-C17,0)</f>
        <v/>
      </c>
    </row>
    <row r="18">
      <c r="A18" t="n">
        <v>632</v>
      </c>
      <c r="B18" t="inlineStr">
        <is>
          <t>Genel Yönetim Giderleri (-)</t>
        </is>
      </c>
      <c r="C18" s="11">
        <f>SUMIF(Yevmiye!$E$5:$E$200,A18,Yevmiye!$G$5:$G$200)</f>
        <v/>
      </c>
      <c r="D18" s="11">
        <f>SUMIF(Yevmiye!$E$5:$E$200,A18,Yevmiye!$H$5:$H$200)</f>
        <v/>
      </c>
      <c r="E18" s="11">
        <f>MAX(C18-D18,0)</f>
        <v/>
      </c>
      <c r="F18" s="11">
        <f>MAX(D18-C18,0)</f>
        <v/>
      </c>
    </row>
    <row r="19">
      <c r="A19" t="n">
        <v>793</v>
      </c>
      <c r="B19" t="inlineStr">
        <is>
          <t>Dışarıdan Sağlanan Fayda ve Hizmetler</t>
        </is>
      </c>
      <c r="C19" s="11">
        <f>SUMIF(Yevmiye!$E$5:$E$200,A19,Yevmiye!$G$5:$G$200)</f>
        <v/>
      </c>
      <c r="D19" s="11">
        <f>SUMIF(Yevmiye!$E$5:$E$200,A19,Yevmiye!$H$5:$H$200)</f>
        <v/>
      </c>
      <c r="E19" s="11">
        <f>MAX(C19-D19,0)</f>
        <v/>
      </c>
      <c r="F19" s="11">
        <f>MAX(D19-C19,0)</f>
        <v/>
      </c>
    </row>
    <row r="20">
      <c r="A20" t="n">
        <v>794</v>
      </c>
      <c r="B20" t="inlineStr">
        <is>
          <t>Çeşitli Giderler</t>
        </is>
      </c>
      <c r="C20" s="11">
        <f>SUMIF(Yevmiye!$E$5:$E$200,A20,Yevmiye!$G$5:$G$200)</f>
        <v/>
      </c>
      <c r="D20" s="11">
        <f>SUMIF(Yevmiye!$E$5:$E$200,A20,Yevmiye!$H$5:$H$200)</f>
        <v/>
      </c>
      <c r="E20" s="11">
        <f>MAX(C20-D20,0)</f>
        <v/>
      </c>
      <c r="F20" s="11">
        <f>MAX(D20-C20,0)</f>
        <v/>
      </c>
    </row>
    <row r="21">
      <c r="A21" t="n">
        <v>796</v>
      </c>
      <c r="B21" t="inlineStr">
        <is>
          <t>Amortismanlar ve Tükenme Payları</t>
        </is>
      </c>
      <c r="C21" s="11">
        <f>SUMIF(Yevmiye!$E$5:$E$200,A21,Yevmiye!$G$5:$G$200)</f>
        <v/>
      </c>
      <c r="D21" s="11">
        <f>SUMIF(Yevmiye!$E$5:$E$200,A21,Yevmiye!$H$5:$H$200)</f>
        <v/>
      </c>
      <c r="E21" s="11">
        <f>MAX(C21-D21,0)</f>
        <v/>
      </c>
      <c r="F21" s="11">
        <f>MAX(D21-C21,0)</f>
        <v/>
      </c>
    </row>
    <row r="22">
      <c r="A22" t="n">
        <v>798</v>
      </c>
      <c r="B22" t="inlineStr">
        <is>
          <t>Gider Çeşitleri Yansıtma Hesabı</t>
        </is>
      </c>
      <c r="C22" s="11">
        <f>SUMIF(Yevmiye!$E$5:$E$200,A22,Yevmiye!$G$5:$G$200)</f>
        <v/>
      </c>
      <c r="D22" s="11">
        <f>SUMIF(Yevmiye!$E$5:$E$200,A22,Yevmiye!$H$5:$H$200)</f>
        <v/>
      </c>
      <c r="E22" s="11">
        <f>MAX(C22-D22,0)</f>
        <v/>
      </c>
      <c r="F22" s="11">
        <f>MAX(D22-C22,0)</f>
        <v/>
      </c>
    </row>
    <row r="23">
      <c r="B23" s="8" t="inlineStr">
        <is>
          <t>TOPLAM</t>
        </is>
      </c>
      <c r="C23" s="9">
        <f>SUM(C5:C22)</f>
        <v/>
      </c>
      <c r="D23" s="9">
        <f>SUM(D5:D22)</f>
        <v/>
      </c>
      <c r="E23" s="9">
        <f>SUM(E5:E22)</f>
        <v/>
      </c>
      <c r="F23" s="9">
        <f>SUM(F5:F22)</f>
        <v/>
      </c>
    </row>
    <row r="25">
      <c r="A25" s="3" t="inlineStr">
        <is>
          <t>Kontroller</t>
        </is>
      </c>
    </row>
    <row r="26">
      <c r="A26" t="inlineStr">
        <is>
          <t>Hareket toplamları (borç = alacak)</t>
        </is>
      </c>
      <c r="E26" s="10">
        <f>IF(ROUND(C23-D23,2)=0,"DENK","DENK DEĞİL")</f>
        <v/>
      </c>
    </row>
    <row r="27">
      <c r="A27" t="inlineStr">
        <is>
          <t>Kalan toplamları (borç kalanı = alacak kalanı)</t>
        </is>
      </c>
      <c r="E27" s="10">
        <f>IF(ROUND(E23-F23,2)=0,"DENK","DENK DEĞİL")</f>
        <v/>
      </c>
    </row>
    <row r="28">
      <c r="A28" t="inlineStr">
        <is>
          <t>Mizan borç toplamı = Yevmiye borç toplamı</t>
        </is>
      </c>
      <c r="E28" s="10">
        <f>IF(ROUND(C23-Yevmiye!G201,2)=0,"EŞİT","EŞİT DEĞİL — hesap planında olmayan kod var mı?")</f>
        <v/>
      </c>
    </row>
    <row r="29">
      <c r="A29" t="inlineStr">
        <is>
          <t>7/B gider çeşitleri aktarıldı mı (79x − 798 = 0)</t>
        </is>
      </c>
      <c r="E29" s="10">
        <f>IF(ROUND(SUMIF(A5:A22,"&gt;=790",E5:E22)-SUMIF(A5:A22,"&gt;=790",F5:F22),2)=0,"AKTARILDI","AKTARILMADI")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8" customWidth="1" min="2" max="2"/>
  </cols>
  <sheetData>
    <row r="1">
      <c r="A1" s="1" t="inlineStr">
        <is>
          <t>Gelir Tablosu — 01.01.2026–31.01.2026 (ara dönem)</t>
        </is>
      </c>
    </row>
    <row r="2">
      <c r="A2" s="2" t="inlineStr">
        <is>
          <t>Tutarlar Mizan sayfasından formülle gelir. Vergi karşılığı bu çalışmanın kapsamı dışında (vergi öncesi kâr).</t>
        </is>
      </c>
    </row>
    <row r="4">
      <c r="A4" t="inlineStr">
        <is>
          <t>A. Brüt satışlar — Yurt içi satışlar (600)</t>
        </is>
      </c>
      <c r="B4" s="11">
        <f>SUMIF(Mizan!$A$5:$A$40,600,Mizan!$F$5:$F$40)-SUMIF(Mizan!$A$5:$A$40,600,Mizan!$E$5:$E$40)</f>
        <v/>
      </c>
    </row>
    <row r="5">
      <c r="A5" t="inlineStr">
        <is>
          <t>B. Satış indirimleri (−)</t>
        </is>
      </c>
      <c r="B5" s="11" t="n">
        <v>0</v>
      </c>
    </row>
    <row r="6">
      <c r="A6" s="8" t="inlineStr">
        <is>
          <t>C. Net satışlar</t>
        </is>
      </c>
      <c r="B6" s="12">
        <f>B4-B5</f>
        <v/>
      </c>
    </row>
    <row r="7">
      <c r="A7" t="inlineStr">
        <is>
          <t>D. Satışların maliyeti (−) — Satılan ticari mallar maliyeti (621)</t>
        </is>
      </c>
      <c r="B7" s="11">
        <f>SUMIF(Mizan!$A$5:$A$40,621,Mizan!$E$5:$E$40)-SUMIF(Mizan!$A$5:$A$40,621,Mizan!$F$5:$F$40)</f>
        <v/>
      </c>
    </row>
    <row r="8">
      <c r="A8" s="8" t="inlineStr">
        <is>
          <t>Brüt satış kârı</t>
        </is>
      </c>
      <c r="B8" s="12">
        <f>B6-B7</f>
        <v/>
      </c>
    </row>
    <row r="9">
      <c r="A9" t="inlineStr">
        <is>
          <t>E. Faaliyet giderleri (−) — Genel yönetim giderleri (632)</t>
        </is>
      </c>
      <c r="B9" s="11">
        <f>SUMIF(Mizan!$A$5:$A$40,632,Mizan!$E$5:$E$40)-SUMIF(Mizan!$A$5:$A$40,632,Mizan!$F$5:$F$40)</f>
        <v/>
      </c>
    </row>
    <row r="10">
      <c r="A10" s="8" t="inlineStr">
        <is>
          <t>Faaliyet kârı</t>
        </is>
      </c>
      <c r="B10" s="12">
        <f>B8-B9</f>
        <v/>
      </c>
    </row>
    <row r="11">
      <c r="A11" s="8" t="inlineStr">
        <is>
          <t>Dönem kârı (vergi öncesi)</t>
        </is>
      </c>
      <c r="B11" s="12">
        <f>B10</f>
        <v/>
      </c>
    </row>
    <row r="13">
      <c r="A13" s="3" t="inlineStr">
        <is>
          <t>Brüt kâr marjı</t>
        </is>
      </c>
      <c r="B13" s="13">
        <f>IF(B6=0,0,B8/B6)</f>
        <v/>
      </c>
    </row>
    <row r="15">
      <c r="A15" s="3" t="inlineStr">
        <is>
          <t>Kontrol: gelir tablosu hesaplarının net kalanı = dönem kârı</t>
        </is>
      </c>
      <c r="B15" s="14">
        <f>IF(ROUND(SUMIFS(Mizan!$F$5:$F$40,Mizan!$A$5:$A$40,"&gt;=600",Mizan!$A$5:$A$40,"&lt;700")-SUMIFS(Mizan!$E$5:$E$40,Mizan!$A$5:$A$40,"&gt;=600",Mizan!$A$5:$A$40,"&lt;700")-B11,2)=0,"TUTUYOR","FARK VAR")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" customWidth="1" min="3" max="3"/>
    <col width="44" customWidth="1" min="4" max="4"/>
    <col width="16" customWidth="1" min="5" max="5"/>
  </cols>
  <sheetData>
    <row r="1">
      <c r="A1" s="1" t="inlineStr">
        <is>
          <t>Bilanço — 31.01.2026 (ara dönem)</t>
        </is>
      </c>
    </row>
    <row r="2">
      <c r="A2" s="2" t="inlineStr">
        <is>
          <t>Aktif (varlıklar) = Pasif (kaynaklar). Dönem kârı Gelir Tablosu'ndan gelir; resmî yıl sonu bilançosu değildir.</t>
        </is>
      </c>
    </row>
    <row r="4">
      <c r="A4" s="4" t="inlineStr">
        <is>
          <t>AKTİF (Varlıklar)</t>
        </is>
      </c>
      <c r="B4" s="4" t="inlineStr">
        <is>
          <t>Tutar</t>
        </is>
      </c>
      <c r="C4" s="4" t="inlineStr"/>
      <c r="D4" s="4" t="inlineStr">
        <is>
          <t>PASİF (Kaynaklar)</t>
        </is>
      </c>
      <c r="E4" s="4" t="inlineStr">
        <is>
          <t>Tutar</t>
        </is>
      </c>
    </row>
    <row r="5">
      <c r="A5" s="3" t="inlineStr">
        <is>
          <t>I. DÖNEN VARLIKLAR</t>
        </is>
      </c>
      <c r="D5" s="3" t="inlineStr">
        <is>
          <t>III. KISA VADELİ YABANCI KAYNAKLAR</t>
        </is>
      </c>
    </row>
    <row r="6">
      <c r="A6" t="inlineStr">
        <is>
          <t xml:space="preserve">  Kasa (100)</t>
        </is>
      </c>
      <c r="B6" s="11">
        <f>(SUMIF(Mizan!$A$5:$A$40,100,Mizan!$E$5:$E$40)-SUMIF(Mizan!$A$5:$A$40,100,Mizan!$F$5:$F$40))</f>
        <v/>
      </c>
      <c r="D6" t="inlineStr">
        <is>
          <t xml:space="preserve">  Satıcılar (320)</t>
        </is>
      </c>
      <c r="E6" s="11">
        <f>(SUMIF(Mizan!$A$5:$A$40,320,Mizan!$F$5:$F$40)-SUMIF(Mizan!$A$5:$A$40,320,Mizan!$E$5:$E$40))</f>
        <v/>
      </c>
    </row>
    <row r="7">
      <c r="A7" t="inlineStr">
        <is>
          <t xml:space="preserve">  Bankalar (102)</t>
        </is>
      </c>
      <c r="B7" s="11">
        <f>(SUMIF(Mizan!$A$5:$A$40,102,Mizan!$E$5:$E$40)-SUMIF(Mizan!$A$5:$A$40,102,Mizan!$F$5:$F$40))</f>
        <v/>
      </c>
      <c r="D7" t="inlineStr">
        <is>
          <t xml:space="preserve">  Ödenecek vergi ve fonlar (360)</t>
        </is>
      </c>
      <c r="E7" s="11">
        <f>(SUMIF(Mizan!$A$5:$A$40,360,Mizan!$F$5:$F$40)-SUMIF(Mizan!$A$5:$A$40,360,Mizan!$E$5:$E$40))</f>
        <v/>
      </c>
    </row>
    <row r="8">
      <c r="A8" t="inlineStr">
        <is>
          <t xml:space="preserve">  Alıcılar (120)</t>
        </is>
      </c>
      <c r="B8" s="11">
        <f>(SUMIF(Mizan!$A$5:$A$40,120,Mizan!$E$5:$E$40)-SUMIF(Mizan!$A$5:$A$40,120,Mizan!$F$5:$F$40))</f>
        <v/>
      </c>
      <c r="D8" t="inlineStr">
        <is>
          <t xml:space="preserve">  Hesaplanan KDV (391)</t>
        </is>
      </c>
      <c r="E8" s="11">
        <f>(SUMIF(Mizan!$A$5:$A$40,391,Mizan!$F$5:$F$40)-SUMIF(Mizan!$A$5:$A$40,391,Mizan!$E$5:$E$40))</f>
        <v/>
      </c>
    </row>
    <row r="9">
      <c r="A9" t="inlineStr">
        <is>
          <t xml:space="preserve">  Ticari mallar (153)</t>
        </is>
      </c>
      <c r="B9" s="11">
        <f>(SUMIF(Mizan!$A$5:$A$40,153,Mizan!$E$5:$E$40)-SUMIF(Mizan!$A$5:$A$40,153,Mizan!$F$5:$F$40))</f>
        <v/>
      </c>
      <c r="D9" s="3" t="inlineStr">
        <is>
          <t xml:space="preserve">  Kısa vadeli yabancı kaynaklar toplamı</t>
        </is>
      </c>
      <c r="E9" s="12">
        <f>SUM(E6:E8)</f>
        <v/>
      </c>
    </row>
    <row r="10">
      <c r="A10" t="inlineStr">
        <is>
          <t xml:space="preserve">  İndirilecek KDV — devreden (191)</t>
        </is>
      </c>
      <c r="B10" s="11">
        <f>(SUMIF(Mizan!$A$5:$A$40,191,Mizan!$E$5:$E$40)-SUMIF(Mizan!$A$5:$A$40,191,Mizan!$F$5:$F$40))</f>
        <v/>
      </c>
      <c r="D10" s="3" t="inlineStr">
        <is>
          <t>V. ÖZ KAYNAKLAR</t>
        </is>
      </c>
    </row>
    <row r="11">
      <c r="A11" s="3" t="inlineStr">
        <is>
          <t xml:space="preserve">  Dönen varlıklar toplamı</t>
        </is>
      </c>
      <c r="B11" s="12">
        <f>SUM(B6:B10)</f>
        <v/>
      </c>
      <c r="D11" t="inlineStr">
        <is>
          <t xml:space="preserve">  Sermaye (500)</t>
        </is>
      </c>
      <c r="E11" s="11">
        <f>(SUMIF(Mizan!$A$5:$A$40,500,Mizan!$F$5:$F$40)-SUMIF(Mizan!$A$5:$A$40,500,Mizan!$E$5:$E$40))</f>
        <v/>
      </c>
    </row>
    <row r="12">
      <c r="A12" s="3" t="inlineStr">
        <is>
          <t>II. DURAN VARLIKLAR</t>
        </is>
      </c>
      <c r="D12" t="inlineStr">
        <is>
          <t xml:space="preserve">  Dönem kârı (Gelir Tablosu, vergi öncesi)</t>
        </is>
      </c>
      <c r="E12" s="11">
        <f>'Gelir Tablosu'!B11</f>
        <v/>
      </c>
    </row>
    <row r="13">
      <c r="A13" t="inlineStr">
        <is>
          <t xml:space="preserve">  Demirbaşlar (255)</t>
        </is>
      </c>
      <c r="B13" s="11">
        <f>(SUMIF(Mizan!$A$5:$A$40,255,Mizan!$E$5:$E$40)-SUMIF(Mizan!$A$5:$A$40,255,Mizan!$F$5:$F$40))</f>
        <v/>
      </c>
      <c r="D13" s="3" t="inlineStr">
        <is>
          <t xml:space="preserve">  Öz kaynaklar toplamı</t>
        </is>
      </c>
      <c r="E13" s="12">
        <f>SUM(E11:E12)</f>
        <v/>
      </c>
    </row>
    <row r="14">
      <c r="A14" t="inlineStr">
        <is>
          <t xml:space="preserve">  Birikmiş amortismanlar (257) (−)</t>
        </is>
      </c>
      <c r="B14" s="11">
        <f>-(SUMIF(Mizan!$A$5:$A$40,257,Mizan!$F$5:$F$40)-SUMIF(Mizan!$A$5:$A$40,257,Mizan!$E$5:$E$40))</f>
        <v/>
      </c>
    </row>
    <row r="15">
      <c r="A15" s="3" t="inlineStr">
        <is>
          <t xml:space="preserve">  Duran varlıklar toplamı</t>
        </is>
      </c>
      <c r="B15" s="12">
        <f>SUM(B13:B14)</f>
        <v/>
      </c>
    </row>
    <row r="17">
      <c r="A17" s="15" t="inlineStr">
        <is>
          <t>AKTİF TOPLAMI</t>
        </is>
      </c>
      <c r="B17" s="16">
        <f>B11+B15</f>
        <v/>
      </c>
      <c r="D17" s="15" t="inlineStr">
        <is>
          <t>PASİF TOPLAMI</t>
        </is>
      </c>
      <c r="E17" s="16">
        <f>E9+E13</f>
        <v/>
      </c>
    </row>
    <row r="19">
      <c r="A19" s="3" t="inlineStr">
        <is>
          <t>Kontrol: aktif = pasif</t>
        </is>
      </c>
      <c r="B19" s="10">
        <f>IF(ROUND(B17-E17,2)=0,"DENK","DENK DEĞİL")</f>
        <v/>
      </c>
    </row>
  </sheetData>
  <pageMargins left="0.75" right="0.75" top="1" bottom="1" header="0.5" footer="0.5"/>
  <pageSetup orientation="landscape"/>
  <headerFooter>
    <oddHeader/>
    <oddFooter>&amp;CKahve Durağı (KURGUSAL) · eğitim amaçlı · mali müşavirlik hizmeti değildir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Muhasebe 101 lab</dc:creator>
  <dc:title>Kahve Durağı — Defter Çalışma Kitabı (kurgusal)</dc:title>
  <dcterms:created xsi:type="dcterms:W3CDTF">2026-09-25T11:13:09Z</dcterms:created>
  <dcterms:modified xsi:type="dcterms:W3CDTF">2026-09-25T11:13:09Z</dcterms:modified>
</cp:coreProperties>
</file>